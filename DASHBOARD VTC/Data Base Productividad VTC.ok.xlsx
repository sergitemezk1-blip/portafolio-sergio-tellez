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0b6c9564718606/Documents/STUDY/DashBoard/Archivos de Trabajo 2/Proyecto Uber/"/>
    </mc:Choice>
  </mc:AlternateContent>
  <xr:revisionPtr revIDLastSave="293" documentId="8_{A32BCA65-112B-4547-A742-25DE1F6E8206}" xr6:coauthVersionLast="47" xr6:coauthVersionMax="47" xr10:uidLastSave="{6F7BED77-BA35-4F69-925F-A856F95B21EF}"/>
  <bookViews>
    <workbookView xWindow="28680" yWindow="-120" windowWidth="29040" windowHeight="15720" xr2:uid="{FD68F775-726D-4E0C-AAD0-CDB38E1B8620}"/>
  </bookViews>
  <sheets>
    <sheet name="Productividad" sheetId="2" r:id="rId1"/>
    <sheet name="Hoja1" sheetId="4" state="hidden" r:id="rId2"/>
    <sheet name="Hoja2" sheetId="5" state="hidden" r:id="rId3"/>
    <sheet name="Absentismo" sheetId="3" r:id="rId4"/>
  </sheets>
  <definedNames>
    <definedName name="_xlnm._FilterDatabase" localSheetId="3" hidden="1">Absentismo!$A$1:$Q$61</definedName>
  </definedNames>
  <calcPr calcId="191029"/>
  <pivotCaches>
    <pivotCache cacheId="0" r:id="rId5"/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5" l="1"/>
  <c r="T36" i="5" s="1"/>
  <c r="I51" i="4"/>
  <c r="I25" i="5"/>
  <c r="I24" i="5"/>
  <c r="I23" i="5"/>
  <c r="I22" i="5"/>
  <c r="N38" i="4"/>
  <c r="N37" i="4"/>
  <c r="N36" i="4"/>
  <c r="N17" i="5"/>
  <c r="P17" i="5" s="1"/>
  <c r="M17" i="5"/>
  <c r="O17" i="5" s="1"/>
  <c r="L17" i="5"/>
  <c r="K17" i="5"/>
  <c r="J31" i="4"/>
  <c r="I38" i="4"/>
  <c r="U78" i="4"/>
  <c r="T78" i="4"/>
  <c r="U77" i="4"/>
  <c r="T77" i="4"/>
  <c r="U76" i="4"/>
  <c r="T76" i="4"/>
  <c r="U75" i="4"/>
  <c r="T75" i="4"/>
  <c r="U74" i="4"/>
  <c r="T74" i="4"/>
  <c r="U73" i="4"/>
  <c r="T73" i="4"/>
  <c r="U72" i="4"/>
  <c r="T72" i="4"/>
  <c r="U71" i="4"/>
  <c r="T71" i="4"/>
  <c r="U70" i="4"/>
  <c r="T70" i="4"/>
  <c r="U69" i="4"/>
  <c r="T69" i="4"/>
  <c r="U68" i="4"/>
  <c r="T68" i="4"/>
  <c r="U67" i="4"/>
  <c r="T67" i="4"/>
  <c r="U66" i="4"/>
  <c r="T66" i="4"/>
  <c r="U65" i="4"/>
  <c r="T65" i="4"/>
  <c r="U64" i="4"/>
  <c r="T64" i="4"/>
  <c r="U63" i="4"/>
  <c r="T63" i="4"/>
  <c r="U62" i="4"/>
  <c r="T62" i="4"/>
  <c r="U61" i="4"/>
  <c r="T61" i="4"/>
  <c r="U60" i="4"/>
  <c r="T60" i="4"/>
  <c r="U59" i="4"/>
  <c r="T59" i="4"/>
  <c r="U58" i="4"/>
  <c r="T58" i="4"/>
  <c r="U57" i="4"/>
  <c r="T57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H52" i="4"/>
  <c r="H51" i="4"/>
  <c r="H50" i="4"/>
  <c r="H49" i="4"/>
  <c r="H46" i="4"/>
  <c r="H45" i="4"/>
  <c r="H44" i="4"/>
  <c r="H43" i="4"/>
  <c r="H38" i="4"/>
  <c r="H37" i="4"/>
  <c r="H36" i="4"/>
  <c r="H39" i="4"/>
  <c r="I32" i="4"/>
  <c r="I31" i="4"/>
  <c r="I30" i="4"/>
  <c r="I29" i="4"/>
  <c r="H32" i="4"/>
  <c r="H31" i="4"/>
  <c r="H30" i="4"/>
  <c r="H29" i="4"/>
  <c r="D17" i="4"/>
  <c r="C13" i="4"/>
  <c r="C9" i="4"/>
  <c r="C4" i="4"/>
  <c r="O61" i="3"/>
  <c r="H61" i="3"/>
  <c r="F61" i="3"/>
  <c r="O60" i="3"/>
  <c r="H60" i="3"/>
  <c r="F60" i="3"/>
  <c r="O59" i="3"/>
  <c r="H59" i="3"/>
  <c r="F59" i="3"/>
  <c r="O58" i="3"/>
  <c r="H58" i="3"/>
  <c r="F58" i="3"/>
  <c r="O57" i="3"/>
  <c r="H57" i="3"/>
  <c r="F57" i="3"/>
  <c r="O56" i="3"/>
  <c r="H56" i="3"/>
  <c r="F56" i="3"/>
  <c r="O55" i="3"/>
  <c r="H55" i="3"/>
  <c r="F55" i="3"/>
  <c r="O54" i="3"/>
  <c r="H54" i="3"/>
  <c r="F54" i="3"/>
  <c r="O53" i="3"/>
  <c r="H53" i="3"/>
  <c r="F53" i="3"/>
  <c r="O52" i="3"/>
  <c r="H52" i="3"/>
  <c r="F52" i="3"/>
  <c r="O51" i="3"/>
  <c r="H51" i="3"/>
  <c r="F51" i="3"/>
  <c r="O50" i="3"/>
  <c r="H50" i="3"/>
  <c r="F50" i="3"/>
  <c r="O49" i="3"/>
  <c r="H49" i="3"/>
  <c r="F49" i="3"/>
  <c r="O48" i="3"/>
  <c r="H48" i="3"/>
  <c r="F48" i="3"/>
  <c r="O47" i="3"/>
  <c r="H47" i="3"/>
  <c r="F47" i="3"/>
  <c r="O46" i="3"/>
  <c r="H46" i="3"/>
  <c r="F46" i="3"/>
  <c r="O45" i="3"/>
  <c r="H45" i="3"/>
  <c r="F45" i="3"/>
  <c r="O44" i="3"/>
  <c r="H44" i="3"/>
  <c r="F44" i="3"/>
  <c r="O43" i="3"/>
  <c r="H43" i="3"/>
  <c r="F43" i="3"/>
  <c r="O42" i="3"/>
  <c r="H42" i="3"/>
  <c r="F42" i="3"/>
  <c r="O41" i="3"/>
  <c r="H41" i="3"/>
  <c r="F41" i="3"/>
  <c r="O40" i="3"/>
  <c r="H40" i="3"/>
  <c r="F40" i="3"/>
  <c r="O39" i="3"/>
  <c r="H39" i="3"/>
  <c r="F39" i="3"/>
  <c r="O38" i="3"/>
  <c r="H38" i="3"/>
  <c r="F38" i="3"/>
  <c r="O37" i="3"/>
  <c r="H37" i="3"/>
  <c r="F37" i="3"/>
  <c r="O36" i="3"/>
  <c r="H36" i="3"/>
  <c r="F36" i="3"/>
  <c r="O35" i="3"/>
  <c r="H35" i="3"/>
  <c r="F35" i="3"/>
  <c r="O34" i="3"/>
  <c r="H34" i="3"/>
  <c r="F34" i="3"/>
  <c r="O33" i="3"/>
  <c r="H33" i="3"/>
  <c r="F33" i="3"/>
  <c r="O32" i="3"/>
  <c r="H32" i="3"/>
  <c r="F32" i="3"/>
  <c r="O31" i="3"/>
  <c r="H31" i="3"/>
  <c r="F31" i="3"/>
  <c r="O30" i="3"/>
  <c r="H30" i="3"/>
  <c r="F30" i="3"/>
  <c r="O29" i="3"/>
  <c r="H29" i="3"/>
  <c r="F29" i="3"/>
  <c r="O28" i="3"/>
  <c r="H28" i="3"/>
  <c r="F28" i="3"/>
  <c r="O27" i="3"/>
  <c r="H27" i="3"/>
  <c r="F27" i="3"/>
  <c r="O26" i="3"/>
  <c r="H26" i="3"/>
  <c r="F26" i="3"/>
  <c r="O25" i="3"/>
  <c r="H25" i="3"/>
  <c r="F25" i="3"/>
  <c r="O24" i="3"/>
  <c r="H24" i="3"/>
  <c r="F24" i="3"/>
  <c r="O23" i="3"/>
  <c r="H23" i="3"/>
  <c r="F23" i="3"/>
  <c r="O22" i="3"/>
  <c r="H22" i="3"/>
  <c r="F22" i="3"/>
  <c r="O21" i="3"/>
  <c r="H21" i="3"/>
  <c r="F21" i="3"/>
  <c r="O20" i="3"/>
  <c r="H20" i="3"/>
  <c r="F20" i="3"/>
  <c r="O19" i="3"/>
  <c r="H19" i="3"/>
  <c r="F19" i="3"/>
  <c r="O18" i="3"/>
  <c r="H18" i="3"/>
  <c r="F18" i="3"/>
  <c r="O17" i="3"/>
  <c r="H17" i="3"/>
  <c r="F17" i="3"/>
  <c r="O16" i="3"/>
  <c r="H16" i="3"/>
  <c r="F16" i="3"/>
  <c r="O15" i="3"/>
  <c r="H15" i="3"/>
  <c r="F15" i="3"/>
  <c r="O14" i="3"/>
  <c r="H14" i="3"/>
  <c r="F14" i="3"/>
  <c r="O13" i="3"/>
  <c r="H13" i="3"/>
  <c r="F13" i="3"/>
  <c r="O12" i="3"/>
  <c r="H12" i="3"/>
  <c r="F12" i="3"/>
  <c r="O11" i="3"/>
  <c r="H11" i="3"/>
  <c r="F11" i="3"/>
  <c r="O10" i="3"/>
  <c r="H10" i="3"/>
  <c r="F10" i="3"/>
  <c r="O9" i="3"/>
  <c r="H9" i="3"/>
  <c r="F9" i="3"/>
  <c r="O8" i="3"/>
  <c r="H8" i="3"/>
  <c r="F8" i="3"/>
  <c r="O7" i="3"/>
  <c r="H7" i="3"/>
  <c r="F7" i="3"/>
  <c r="O6" i="3"/>
  <c r="H6" i="3"/>
  <c r="F6" i="3"/>
  <c r="O5" i="3"/>
  <c r="H5" i="3"/>
  <c r="F5" i="3"/>
  <c r="O4" i="3"/>
  <c r="H4" i="3"/>
  <c r="F4" i="3"/>
  <c r="O3" i="3"/>
  <c r="H3" i="3"/>
  <c r="F3" i="3"/>
  <c r="O2" i="3"/>
  <c r="H2" i="3"/>
  <c r="F2" i="3"/>
  <c r="W61" i="2"/>
  <c r="J61" i="2"/>
  <c r="E61" i="2"/>
  <c r="W60" i="2"/>
  <c r="J60" i="2"/>
  <c r="E60" i="2"/>
  <c r="W59" i="2"/>
  <c r="J59" i="2"/>
  <c r="E59" i="2"/>
  <c r="W58" i="2"/>
  <c r="J58" i="2"/>
  <c r="E58" i="2"/>
  <c r="W57" i="2"/>
  <c r="J57" i="2"/>
  <c r="E57" i="2"/>
  <c r="W56" i="2"/>
  <c r="J56" i="2"/>
  <c r="E56" i="2"/>
  <c r="W55" i="2"/>
  <c r="J55" i="2"/>
  <c r="E55" i="2"/>
  <c r="W54" i="2"/>
  <c r="J54" i="2"/>
  <c r="E54" i="2"/>
  <c r="W53" i="2"/>
  <c r="J53" i="2"/>
  <c r="E53" i="2"/>
  <c r="W52" i="2"/>
  <c r="J52" i="2"/>
  <c r="E52" i="2"/>
  <c r="W51" i="2"/>
  <c r="J51" i="2"/>
  <c r="E51" i="2"/>
  <c r="W50" i="2"/>
  <c r="J50" i="2"/>
  <c r="E50" i="2"/>
  <c r="W49" i="2"/>
  <c r="J49" i="2"/>
  <c r="E49" i="2"/>
  <c r="W48" i="2"/>
  <c r="J48" i="2"/>
  <c r="E48" i="2"/>
  <c r="W47" i="2"/>
  <c r="J47" i="2"/>
  <c r="E47" i="2"/>
  <c r="W46" i="2"/>
  <c r="J46" i="2"/>
  <c r="E46" i="2"/>
  <c r="W45" i="2"/>
  <c r="J45" i="2"/>
  <c r="E45" i="2"/>
  <c r="W44" i="2"/>
  <c r="J44" i="2"/>
  <c r="E44" i="2"/>
  <c r="W43" i="2"/>
  <c r="J43" i="2"/>
  <c r="E43" i="2"/>
  <c r="W42" i="2"/>
  <c r="J42" i="2"/>
  <c r="E42" i="2"/>
  <c r="W41" i="2"/>
  <c r="J41" i="2"/>
  <c r="E41" i="2"/>
  <c r="W40" i="2"/>
  <c r="J40" i="2"/>
  <c r="E40" i="2"/>
  <c r="W39" i="2"/>
  <c r="J39" i="2"/>
  <c r="E39" i="2"/>
  <c r="W38" i="2"/>
  <c r="J38" i="2"/>
  <c r="E38" i="2"/>
  <c r="W37" i="2"/>
  <c r="J37" i="2"/>
  <c r="E37" i="2"/>
  <c r="W36" i="2"/>
  <c r="J36" i="2"/>
  <c r="E36" i="2"/>
  <c r="W35" i="2"/>
  <c r="J35" i="2"/>
  <c r="E35" i="2"/>
  <c r="W34" i="2"/>
  <c r="J34" i="2"/>
  <c r="E34" i="2"/>
  <c r="W33" i="2"/>
  <c r="J33" i="2"/>
  <c r="E33" i="2"/>
  <c r="W32" i="2"/>
  <c r="J32" i="2"/>
  <c r="E32" i="2"/>
  <c r="W31" i="2"/>
  <c r="J31" i="2"/>
  <c r="E31" i="2"/>
  <c r="W30" i="2"/>
  <c r="J30" i="2"/>
  <c r="E30" i="2"/>
  <c r="W29" i="2"/>
  <c r="J29" i="2"/>
  <c r="E29" i="2"/>
  <c r="W28" i="2"/>
  <c r="J28" i="2"/>
  <c r="E28" i="2"/>
  <c r="W27" i="2"/>
  <c r="J27" i="2"/>
  <c r="E27" i="2"/>
  <c r="W26" i="2"/>
  <c r="J26" i="2"/>
  <c r="E26" i="2"/>
  <c r="W25" i="2"/>
  <c r="J25" i="2"/>
  <c r="E25" i="2"/>
  <c r="W24" i="2"/>
  <c r="J24" i="2"/>
  <c r="E24" i="2"/>
  <c r="W23" i="2"/>
  <c r="J23" i="2"/>
  <c r="E23" i="2"/>
  <c r="W22" i="2"/>
  <c r="J22" i="2"/>
  <c r="E22" i="2"/>
  <c r="W21" i="2"/>
  <c r="J21" i="2"/>
  <c r="E21" i="2"/>
  <c r="W20" i="2"/>
  <c r="J20" i="2"/>
  <c r="E20" i="2"/>
  <c r="W19" i="2"/>
  <c r="J19" i="2"/>
  <c r="E19" i="2"/>
  <c r="W18" i="2"/>
  <c r="J18" i="2"/>
  <c r="E18" i="2"/>
  <c r="W17" i="2"/>
  <c r="J17" i="2"/>
  <c r="E17" i="2"/>
  <c r="W16" i="2"/>
  <c r="J16" i="2"/>
  <c r="E16" i="2"/>
  <c r="W15" i="2"/>
  <c r="J15" i="2"/>
  <c r="E15" i="2"/>
  <c r="W14" i="2"/>
  <c r="J14" i="2"/>
  <c r="E14" i="2"/>
  <c r="W13" i="2"/>
  <c r="J13" i="2"/>
  <c r="E13" i="2"/>
  <c r="W12" i="2"/>
  <c r="J12" i="2"/>
  <c r="E12" i="2"/>
  <c r="W11" i="2"/>
  <c r="J11" i="2"/>
  <c r="H11" i="2"/>
  <c r="E11" i="2"/>
  <c r="W10" i="2"/>
  <c r="J10" i="2"/>
  <c r="E10" i="2"/>
  <c r="W9" i="2"/>
  <c r="J9" i="2"/>
  <c r="E9" i="2"/>
  <c r="W8" i="2"/>
  <c r="J8" i="2"/>
  <c r="E8" i="2"/>
  <c r="W7" i="2"/>
  <c r="J7" i="2"/>
  <c r="E7" i="2"/>
  <c r="W6" i="2"/>
  <c r="J6" i="2"/>
  <c r="E6" i="2"/>
  <c r="W5" i="2"/>
  <c r="J5" i="2"/>
  <c r="E5" i="2"/>
  <c r="W4" i="2"/>
  <c r="J4" i="2"/>
  <c r="E4" i="2"/>
  <c r="W3" i="2"/>
  <c r="J3" i="2"/>
  <c r="E3" i="2"/>
  <c r="W2" i="2"/>
  <c r="J2" i="2"/>
  <c r="E2" i="2"/>
  <c r="J51" i="4"/>
  <c r="J38" i="4"/>
  <c r="C17" i="4"/>
  <c r="T32" i="5" l="1"/>
  <c r="T35" i="5"/>
  <c r="T30" i="5"/>
  <c r="T31" i="5"/>
  <c r="T34" i="5"/>
  <c r="T33" i="5"/>
  <c r="U36" i="5"/>
  <c r="K61" i="2"/>
  <c r="L61" i="2" s="1"/>
  <c r="H61" i="2"/>
  <c r="F61" i="2"/>
  <c r="H60" i="2"/>
  <c r="K60" i="2"/>
  <c r="L60" i="2" s="1"/>
  <c r="F60" i="2"/>
  <c r="K59" i="2"/>
  <c r="L59" i="2" s="1"/>
  <c r="H59" i="2"/>
  <c r="F59" i="2"/>
  <c r="F58" i="2"/>
  <c r="H58" i="2"/>
  <c r="K58" i="2"/>
  <c r="L58" i="2" s="1"/>
  <c r="H57" i="2"/>
  <c r="K57" i="2"/>
  <c r="L57" i="2" s="1"/>
  <c r="F57" i="2"/>
  <c r="H56" i="2"/>
  <c r="K56" i="2"/>
  <c r="L56" i="2" s="1"/>
  <c r="F56" i="2"/>
  <c r="K55" i="2"/>
  <c r="L55" i="2" s="1"/>
  <c r="H55" i="2"/>
  <c r="F55" i="2"/>
  <c r="H54" i="2"/>
  <c r="K54" i="2"/>
  <c r="L54" i="2" s="1"/>
  <c r="F54" i="2"/>
  <c r="H53" i="2"/>
  <c r="K53" i="2"/>
  <c r="L53" i="2" s="1"/>
  <c r="F53" i="2"/>
  <c r="F52" i="2"/>
  <c r="K52" i="2"/>
  <c r="L52" i="2" s="1"/>
  <c r="H52" i="2"/>
  <c r="F51" i="2"/>
  <c r="K51" i="2"/>
  <c r="L51" i="2" s="1"/>
  <c r="H51" i="2"/>
  <c r="K50" i="2"/>
  <c r="L50" i="2" s="1"/>
  <c r="F50" i="2"/>
  <c r="H50" i="2"/>
  <c r="K49" i="2"/>
  <c r="L49" i="2" s="1"/>
  <c r="H49" i="2"/>
  <c r="F49" i="2"/>
  <c r="K48" i="2"/>
  <c r="L48" i="2" s="1"/>
  <c r="F48" i="2"/>
  <c r="H48" i="2"/>
  <c r="H47" i="2"/>
  <c r="K47" i="2"/>
  <c r="L47" i="2" s="1"/>
  <c r="F47" i="2"/>
  <c r="F46" i="2"/>
  <c r="K46" i="2"/>
  <c r="L46" i="2" s="1"/>
  <c r="H46" i="2"/>
  <c r="F45" i="2"/>
  <c r="K45" i="2"/>
  <c r="L45" i="2" s="1"/>
  <c r="H45" i="2"/>
  <c r="K44" i="2"/>
  <c r="L44" i="2" s="1"/>
  <c r="F44" i="2"/>
  <c r="H44" i="2"/>
  <c r="F43" i="2"/>
  <c r="H43" i="2"/>
  <c r="K43" i="2"/>
  <c r="L43" i="2" s="1"/>
  <c r="K42" i="2"/>
  <c r="L42" i="2" s="1"/>
  <c r="F42" i="2"/>
  <c r="H42" i="2"/>
  <c r="F41" i="2"/>
  <c r="H41" i="2"/>
  <c r="K41" i="2"/>
  <c r="L41" i="2" s="1"/>
  <c r="K40" i="2"/>
  <c r="L40" i="2" s="1"/>
  <c r="H40" i="2"/>
  <c r="F40" i="2"/>
  <c r="K39" i="2"/>
  <c r="L39" i="2" s="1"/>
  <c r="H39" i="2"/>
  <c r="F39" i="2"/>
  <c r="H38" i="2"/>
  <c r="K38" i="2"/>
  <c r="L38" i="2" s="1"/>
  <c r="F38" i="2"/>
  <c r="F37" i="2"/>
  <c r="K37" i="2"/>
  <c r="L37" i="2" s="1"/>
  <c r="H37" i="2"/>
  <c r="H36" i="2"/>
  <c r="K36" i="2"/>
  <c r="L36" i="2" s="1"/>
  <c r="F36" i="2"/>
  <c r="F35" i="2"/>
  <c r="H35" i="2"/>
  <c r="K35" i="2"/>
  <c r="L35" i="2" s="1"/>
  <c r="K34" i="2"/>
  <c r="L34" i="2" s="1"/>
  <c r="H34" i="2"/>
  <c r="F34" i="2"/>
  <c r="F33" i="2"/>
  <c r="K33" i="2"/>
  <c r="L33" i="2" s="1"/>
  <c r="H33" i="2"/>
  <c r="F32" i="2"/>
  <c r="K32" i="2"/>
  <c r="L32" i="2" s="1"/>
  <c r="H32" i="2"/>
  <c r="F31" i="2"/>
  <c r="H31" i="2"/>
  <c r="K31" i="2"/>
  <c r="L31" i="2" s="1"/>
  <c r="H30" i="2"/>
  <c r="K30" i="2"/>
  <c r="L30" i="2" s="1"/>
  <c r="F30" i="2"/>
  <c r="H29" i="2"/>
  <c r="K29" i="2"/>
  <c r="L29" i="2" s="1"/>
  <c r="F29" i="2"/>
  <c r="H28" i="2"/>
  <c r="K28" i="2"/>
  <c r="L28" i="2" s="1"/>
  <c r="F28" i="2"/>
  <c r="H27" i="2"/>
  <c r="F27" i="2"/>
  <c r="K27" i="2"/>
  <c r="L27" i="2" s="1"/>
  <c r="H26" i="2"/>
  <c r="K26" i="2"/>
  <c r="L26" i="2" s="1"/>
  <c r="F26" i="2"/>
  <c r="K25" i="2"/>
  <c r="L25" i="2" s="1"/>
  <c r="H25" i="2"/>
  <c r="F25" i="2"/>
  <c r="H24" i="2"/>
  <c r="K24" i="2"/>
  <c r="L24" i="2" s="1"/>
  <c r="F24" i="2"/>
  <c r="K23" i="2"/>
  <c r="L23" i="2" s="1"/>
  <c r="H23" i="2"/>
  <c r="F23" i="2"/>
  <c r="H22" i="2"/>
  <c r="K22" i="2"/>
  <c r="L22" i="2" s="1"/>
  <c r="F22" i="2"/>
  <c r="H21" i="2"/>
  <c r="K21" i="2"/>
  <c r="L21" i="2" s="1"/>
  <c r="F21" i="2"/>
  <c r="F20" i="2"/>
  <c r="K20" i="2"/>
  <c r="L20" i="2" s="1"/>
  <c r="H20" i="2"/>
  <c r="H19" i="2"/>
  <c r="F19" i="2"/>
  <c r="K19" i="2"/>
  <c r="L19" i="2" s="1"/>
  <c r="F18" i="2"/>
  <c r="K18" i="2"/>
  <c r="L18" i="2" s="1"/>
  <c r="H18" i="2"/>
  <c r="H17" i="2"/>
  <c r="K17" i="2"/>
  <c r="L17" i="2" s="1"/>
  <c r="F17" i="2"/>
  <c r="H16" i="2"/>
  <c r="K16" i="2"/>
  <c r="L16" i="2" s="1"/>
  <c r="F16" i="2"/>
  <c r="H15" i="2"/>
  <c r="F15" i="2"/>
  <c r="K15" i="2"/>
  <c r="L15" i="2" s="1"/>
  <c r="H14" i="2"/>
  <c r="F14" i="2"/>
  <c r="K14" i="2"/>
  <c r="L14" i="2" s="1"/>
  <c r="H13" i="2"/>
  <c r="F13" i="2"/>
  <c r="K13" i="2"/>
  <c r="L13" i="2" s="1"/>
  <c r="H12" i="2"/>
  <c r="F12" i="2"/>
  <c r="K12" i="2"/>
  <c r="L12" i="2" s="1"/>
  <c r="K11" i="2"/>
  <c r="L11" i="2" s="1"/>
  <c r="F11" i="2"/>
  <c r="H10" i="2"/>
  <c r="K10" i="2"/>
  <c r="L10" i="2" s="1"/>
  <c r="F10" i="2"/>
  <c r="F9" i="2"/>
  <c r="K9" i="2"/>
  <c r="L9" i="2" s="1"/>
  <c r="H9" i="2"/>
  <c r="H8" i="2"/>
  <c r="K8" i="2"/>
  <c r="L8" i="2" s="1"/>
  <c r="F8" i="2"/>
  <c r="K7" i="2"/>
  <c r="L7" i="2" s="1"/>
  <c r="H7" i="2"/>
  <c r="F7" i="2"/>
  <c r="H6" i="2"/>
  <c r="K6" i="2"/>
  <c r="L6" i="2" s="1"/>
  <c r="F6" i="2"/>
  <c r="F5" i="2"/>
  <c r="K5" i="2"/>
  <c r="L5" i="2" s="1"/>
  <c r="H5" i="2"/>
  <c r="H4" i="2"/>
  <c r="K4" i="2"/>
  <c r="L4" i="2" s="1"/>
  <c r="F4" i="2"/>
  <c r="H3" i="2"/>
  <c r="F3" i="2"/>
  <c r="K3" i="2"/>
  <c r="L3" i="2" s="1"/>
  <c r="H2" i="2"/>
  <c r="K2" i="2"/>
  <c r="L2" i="2" s="1"/>
  <c r="F2" i="2"/>
</calcChain>
</file>

<file path=xl/sharedStrings.xml><?xml version="1.0" encoding="utf-8"?>
<sst xmlns="http://schemas.openxmlformats.org/spreadsheetml/2006/main" count="715" uniqueCount="121">
  <si>
    <t>Conductor_ID</t>
  </si>
  <si>
    <t>Nombre</t>
  </si>
  <si>
    <t>Mes</t>
  </si>
  <si>
    <t>Total_Clientes_Ofrecidos</t>
  </si>
  <si>
    <t>Total_Clientes_Aceptados</t>
  </si>
  <si>
    <t>Productividad Ofrecidos%</t>
  </si>
  <si>
    <t>Viajes_Completados</t>
  </si>
  <si>
    <t>Productividad Aceptados%</t>
  </si>
  <si>
    <t>Cancelados Por el Cliente</t>
  </si>
  <si>
    <t>Productividad Cancelados por el Cliente%</t>
  </si>
  <si>
    <t>Cancelados por el Conductor</t>
  </si>
  <si>
    <t>Productividad Cancelados por el Conductor%</t>
  </si>
  <si>
    <t>Horas de Conexión</t>
  </si>
  <si>
    <t>Horas_en_Linea</t>
  </si>
  <si>
    <t>Productividad tiempo en linea%</t>
  </si>
  <si>
    <t>Horas_Muertas</t>
  </si>
  <si>
    <t>Productividad tiempo muerto%</t>
  </si>
  <si>
    <t>Facturacion</t>
  </si>
  <si>
    <t>Propinas</t>
  </si>
  <si>
    <t>Calificacion_Promedio</t>
  </si>
  <si>
    <t>Distancia_KM</t>
  </si>
  <si>
    <t>Ingresos_Km</t>
  </si>
  <si>
    <t>Tiempo_Promedio_de_viaje_min</t>
  </si>
  <si>
    <t>Viajes_por_Hora</t>
  </si>
  <si>
    <t>Costos_€</t>
  </si>
  <si>
    <t>Ganancia_Neta_€</t>
  </si>
  <si>
    <t>Cantidad_de_Viajes_5_Estrellas</t>
  </si>
  <si>
    <t>Porc_Viajes_5_Estrellas</t>
  </si>
  <si>
    <t>Dias_Laborales</t>
  </si>
  <si>
    <t>Dias_Asistidos</t>
  </si>
  <si>
    <t>Ausencias</t>
  </si>
  <si>
    <t>Absentismo</t>
  </si>
  <si>
    <t>Turno</t>
  </si>
  <si>
    <t>Alta_Mes</t>
  </si>
  <si>
    <t>D001</t>
  </si>
  <si>
    <t>Juan Pérez</t>
  </si>
  <si>
    <t>Enero</t>
  </si>
  <si>
    <t>Diurno</t>
  </si>
  <si>
    <t>D002</t>
  </si>
  <si>
    <t>Ana Gómez</t>
  </si>
  <si>
    <t>D003</t>
  </si>
  <si>
    <t>Carlos Ruiz</t>
  </si>
  <si>
    <t>D004</t>
  </si>
  <si>
    <t>María López</t>
  </si>
  <si>
    <t>D005</t>
  </si>
  <si>
    <t>Pedro Sánchez</t>
  </si>
  <si>
    <t>D006</t>
  </si>
  <si>
    <t>Lucía Martínez</t>
  </si>
  <si>
    <t>D007</t>
  </si>
  <si>
    <t>Jorge Castillo</t>
  </si>
  <si>
    <t>D008</t>
  </si>
  <si>
    <t>Sofía Herrera</t>
  </si>
  <si>
    <t>D009</t>
  </si>
  <si>
    <t>Diego Torres</t>
  </si>
  <si>
    <t>D010</t>
  </si>
  <si>
    <t>Laura Díaz</t>
  </si>
  <si>
    <t>D011</t>
  </si>
  <si>
    <t>Andrés Vargas</t>
  </si>
  <si>
    <t>Nocturno</t>
  </si>
  <si>
    <t>D012</t>
  </si>
  <si>
    <t>Paula Ríos</t>
  </si>
  <si>
    <t>D013</t>
  </si>
  <si>
    <t>David Navarro</t>
  </si>
  <si>
    <t>D014</t>
  </si>
  <si>
    <t>Valeria Cruz</t>
  </si>
  <si>
    <t>D015</t>
  </si>
  <si>
    <t>Miguel Ángel</t>
  </si>
  <si>
    <t>D016</t>
  </si>
  <si>
    <t>Camila Ortiz</t>
  </si>
  <si>
    <t>D017</t>
  </si>
  <si>
    <t>Samuel Romero</t>
  </si>
  <si>
    <t>D018</t>
  </si>
  <si>
    <t>Elena Núñez</t>
  </si>
  <si>
    <t>Febrero</t>
  </si>
  <si>
    <t>D019</t>
  </si>
  <si>
    <t>Ricardo León</t>
  </si>
  <si>
    <t>D020</t>
  </si>
  <si>
    <t>Isabel Vega</t>
  </si>
  <si>
    <t>D021</t>
  </si>
  <si>
    <t>Tomás Fuentes</t>
  </si>
  <si>
    <t>Reserva</t>
  </si>
  <si>
    <t>Marzo</t>
  </si>
  <si>
    <t>Total Factura</t>
  </si>
  <si>
    <t>Suma de Horas de Conexión</t>
  </si>
  <si>
    <t>Suma de Horas_en_Linea</t>
  </si>
  <si>
    <t>Suma de Dias_Laborales</t>
  </si>
  <si>
    <t>Suma de Dias_Asistidos</t>
  </si>
  <si>
    <t>Suma de Horas_Muertas</t>
  </si>
  <si>
    <t>HORAS PRODUCTIVAS</t>
  </si>
  <si>
    <t>%</t>
  </si>
  <si>
    <t>Etiquetas de fila</t>
  </si>
  <si>
    <t>Total general</t>
  </si>
  <si>
    <t>Suma de Facturacion</t>
  </si>
  <si>
    <t>Suma de Ganancia_Neta_€</t>
  </si>
  <si>
    <t>Suma de Cancelados Por el Cliente</t>
  </si>
  <si>
    <t>Eficiencia %</t>
  </si>
  <si>
    <t>Cumplimiento %</t>
  </si>
  <si>
    <t>Suma de Total_Clientes_Ofrecidos</t>
  </si>
  <si>
    <t>Suma de Total_Clientes_Aceptados</t>
  </si>
  <si>
    <t>Suma de Cancelados por el Conductor</t>
  </si>
  <si>
    <t>Efectividad%</t>
  </si>
  <si>
    <t>Ganancias</t>
  </si>
  <si>
    <t>Total</t>
  </si>
  <si>
    <t>Cuenta de Conductor_ID</t>
  </si>
  <si>
    <t>Planta Activa</t>
  </si>
  <si>
    <t>Planta Fija</t>
  </si>
  <si>
    <t>Planta Activa %</t>
  </si>
  <si>
    <t>Cliente No se encuentra en lugar de Recogida</t>
  </si>
  <si>
    <t>Debo Descansar</t>
  </si>
  <si>
    <t>Problemas con el coche</t>
  </si>
  <si>
    <t>Sobrecupo</t>
  </si>
  <si>
    <t>Sin silla de Bebe</t>
  </si>
  <si>
    <t>No merece la pena</t>
  </si>
  <si>
    <t>Cu</t>
  </si>
  <si>
    <t>Tipologia</t>
  </si>
  <si>
    <t>TABLA COMISIONAL</t>
  </si>
  <si>
    <t>FACTURACION €</t>
  </si>
  <si>
    <t>COMISION</t>
  </si>
  <si>
    <t>Hasta 30,000</t>
  </si>
  <si>
    <t>30,001-60,000</t>
  </si>
  <si>
    <t>Mas de 60,000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</si>
</sst>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* #,##0\ &quot;€&quot;_-;\-* #,##0\ &quot;€&quot;_-;_-* &quot;-&quot;\ &quot;€&quot;_-;_-@_-"/>
    <numFmt numFmtId="165" formatCode="_-* #,##0\ _€_-;\-* #,##0\ _€_-;_-* &quot;-&quot;\ _€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0" fontId="0" fillId="0" borderId="0" xfId="0" applyNumberFormat="1"/>
    <xf numFmtId="0" fontId="2" fillId="0" borderId="0" xfId="0" applyFont="1"/>
    <xf numFmtId="0" fontId="1" fillId="3" borderId="1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0" applyNumberFormat="1"/>
    <xf numFmtId="0" fontId="1" fillId="4" borderId="2" xfId="0" applyFont="1" applyFill="1" applyBorder="1"/>
    <xf numFmtId="9" fontId="0" fillId="0" borderId="0" xfId="0" applyNumberFormat="1"/>
    <xf numFmtId="165" fontId="0" fillId="0" borderId="0" xfId="0" applyNumberFormat="1"/>
    <xf numFmtId="0" fontId="1" fillId="5" borderId="0" xfId="0" applyFont="1" applyFill="1" applyAlignment="1">
      <alignment horizontal="center"/>
    </xf>
    <xf numFmtId="42" fontId="0" fillId="6" borderId="0" xfId="0" applyNumberFormat="1" applyFill="1" applyAlignment="1">
      <alignment horizontal="center"/>
    </xf>
    <xf numFmtId="10" fontId="0" fillId="6" borderId="0" xfId="0" applyNumberFormat="1" applyFill="1" applyAlignment="1">
      <alignment horizontal="center"/>
    </xf>
    <xf numFmtId="42" fontId="1" fillId="5" borderId="0" xfId="0" applyNumberFormat="1" applyFont="1" applyFill="1" applyAlignment="1">
      <alignment horizontal="center"/>
    </xf>
    <xf numFmtId="10" fontId="1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NumberFormat="1" applyFill="1" applyAlignment="1">
      <alignment horizontal="center"/>
    </xf>
    <xf numFmtId="0" fontId="1" fillId="5" borderId="0" xfId="0" applyNumberFormat="1" applyFont="1" applyFill="1" applyAlignment="1">
      <alignment horizontal="center"/>
    </xf>
    <xf numFmtId="9" fontId="0" fillId="6" borderId="0" xfId="0" applyNumberFormat="1" applyFill="1" applyAlignment="1">
      <alignment horizontal="center"/>
    </xf>
    <xf numFmtId="9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numFmt numFmtId="165" formatCode="_-* #,##0\ _€_-;\-* #,##0\ _€_-;_-* &quot;-&quot;\ _€_-;_-@_-"/>
    </dxf>
    <dxf>
      <numFmt numFmtId="165" formatCode="_-* #,##0\ _€_-;\-* #,##0\ _€_-;_-* &quot;-&quot;\ _€_-;_-@_-"/>
    </dxf>
    <dxf>
      <numFmt numFmtId="165" formatCode="_-* #,##0\ _€_-;\-* #,##0\ _€_-;_-* &quot;-&quot;\ _€_-;_-@_-"/>
    </dxf>
    <dxf>
      <alignment horizontal="center"/>
    </dxf>
    <dxf>
      <alignment horizontal="center"/>
    </dxf>
    <dxf>
      <alignment horizontal="center"/>
    </dxf>
    <dxf>
      <numFmt numFmtId="32" formatCode="_-* #,##0\ &quot;€&quot;_-;\-* #,##0\ &quot;€&quot;_-;_-* &quot;-&quot;\ &quot;€&quot;_-;_-@_-"/>
    </dxf>
    <dxf>
      <numFmt numFmtId="32" formatCode="_-* #,##0\ &quot;€&quot;_-;\-* #,##0\ &quot;€&quot;_-;_-* &quot;-&quot;\ &quot;€&quot;_-;_-@_-"/>
    </dxf>
    <dxf>
      <numFmt numFmtId="32" formatCode="_-* #,##0\ &quot;€&quot;_-;\-* #,##0\ &quot;€&quot;_-;_-* &quot;-&quot;\ &quot;€&quot;_-;_-@_-"/>
    </dxf>
    <dxf>
      <numFmt numFmtId="165" formatCode="_-* #,##0\ _€_-;\-* #,##0\ _€_-;_-* &quot;-&quot;\ _€_-;_-@_-"/>
    </dxf>
    <dxf>
      <numFmt numFmtId="165" formatCode="_-* #,##0\ _€_-;\-* #,##0\ _€_-;_-* &quot;-&quot;\ _€_-;_-@_-"/>
    </dxf>
    <dxf>
      <numFmt numFmtId="165" formatCode="_-* #,##0\ _€_-;\-* #,##0\ _€_-;_-* &quot;-&quot;\ _€_-;_-@_-"/>
    </dxf>
    <dxf>
      <numFmt numFmtId="32" formatCode="_-* #,##0\ &quot;€&quot;_-;\-* #,##0\ &quot;€&quot;_-;_-* &quot;-&quot;\ &quot;€&quot;_-;_-@_-"/>
    </dxf>
    <dxf>
      <numFmt numFmtId="32" formatCode="_-* #,##0\ &quot;€&quot;_-;\-* #,##0\ &quot;€&quot;_-;_-* &quot;-&quot;\ &quot;€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5.549610879629" createdVersion="8" refreshedVersion="8" minRefreshableVersion="3" recordCount="60" xr:uid="{FF91EC23-8B50-4495-BCE1-A36ACA908AD7}">
  <cacheSource type="worksheet">
    <worksheetSource ref="A1:Q61" sheet="Absentismo"/>
  </cacheSource>
  <cacheFields count="17">
    <cacheField name="Conductor_ID" numFmtId="0">
      <sharedItems/>
    </cacheField>
    <cacheField name="Nombre" numFmtId="0">
      <sharedItems/>
    </cacheField>
    <cacheField name="Mes" numFmtId="0">
      <sharedItems count="3">
        <s v="Enero"/>
        <s v="Febrero"/>
        <s v="Marzo"/>
      </sharedItems>
    </cacheField>
    <cacheField name="Horas de Conexión" numFmtId="0">
      <sharedItems containsSemiMixedTypes="0" containsString="0" containsNumber="1" minValue="147" maxValue="189"/>
    </cacheField>
    <cacheField name="Horas_en_Linea" numFmtId="0">
      <sharedItems containsSemiMixedTypes="0" containsString="0" containsNumber="1" minValue="115.91" maxValue="223.41"/>
    </cacheField>
    <cacheField name="Productividad tiempo en linea%" numFmtId="10">
      <sharedItems containsSemiMixedTypes="0" containsString="0" containsNumber="1" minValue="0.65915343915343916" maxValue="1.1823529411764706"/>
    </cacheField>
    <cacheField name="Horas_Muertas" numFmtId="0">
      <sharedItems containsSemiMixedTypes="0" containsString="0" containsNumber="1" minValue="18.36" maxValue="82.55"/>
    </cacheField>
    <cacheField name="Productividad tiempo muerto%" numFmtId="10">
      <sharedItems containsSemiMixedTypes="0" containsString="0" containsNumber="1" minValue="9.6978660469047115E-2" maxValue="0.39429690485288493"/>
    </cacheField>
    <cacheField name="Facturacion" numFmtId="0">
      <sharedItems containsSemiMixedTypes="0" containsString="0" containsNumber="1" minValue="639.51" maxValue="3519.14"/>
    </cacheField>
    <cacheField name="Propinas" numFmtId="0">
      <sharedItems containsSemiMixedTypes="0" containsString="0" containsNumber="1" minValue="23.54" maxValue="251.89"/>
    </cacheField>
    <cacheField name="Total Factura" numFmtId="0">
      <sharedItems containsSemiMixedTypes="0" containsString="0" containsNumber="1" minValue="705.11" maxValue="3704.83"/>
    </cacheField>
    <cacheField name="Dias_Laborales" numFmtId="0">
      <sharedItems containsSemiMixedTypes="0" containsString="0" containsNumber="1" containsInteger="1" minValue="21" maxValue="21"/>
    </cacheField>
    <cacheField name="Dias_Asistidos" numFmtId="0">
      <sharedItems containsSemiMixedTypes="0" containsString="0" containsNumber="1" containsInteger="1" minValue="18" maxValue="21"/>
    </cacheField>
    <cacheField name="Ausencias" numFmtId="0">
      <sharedItems containsSemiMixedTypes="0" containsString="0" containsNumber="1" containsInteger="1" minValue="0" maxValue="3"/>
    </cacheField>
    <cacheField name="Absentismo" numFmtId="10">
      <sharedItems containsSemiMixedTypes="0" containsString="0" containsNumber="1" minValue="0.8571428571428571" maxValue="1"/>
    </cacheField>
    <cacheField name="Turno" numFmtId="0">
      <sharedItems/>
    </cacheField>
    <cacheField name="Alta_M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5.625913310185" createdVersion="8" refreshedVersion="8" minRefreshableVersion="3" recordCount="60" xr:uid="{B4C3DEAF-705C-425C-9FC0-82676CFC9186}">
  <cacheSource type="worksheet">
    <worksheetSource ref="A1:W61" sheet="Productividad"/>
  </cacheSource>
  <cacheFields count="23">
    <cacheField name="Conductor_ID" numFmtId="0">
      <sharedItems count="21">
        <s v="D001"/>
        <s v="D002"/>
        <s v="D003"/>
        <s v="D004"/>
        <s v="D005"/>
        <s v="D006"/>
        <s v="D007"/>
        <s v="D008"/>
        <s v="D009"/>
        <s v="D010"/>
        <s v="D011"/>
        <s v="D012"/>
        <s v="D013"/>
        <s v="D014"/>
        <s v="D015"/>
        <s v="D016"/>
        <s v="D017"/>
        <s v="D018"/>
        <s v="D019"/>
        <s v="D020"/>
        <s v="D021"/>
      </sharedItems>
    </cacheField>
    <cacheField name="Nombre" numFmtId="0">
      <sharedItems count="21">
        <s v="Juan Pérez"/>
        <s v="Ana Gómez"/>
        <s v="Carlos Ruiz"/>
        <s v="María López"/>
        <s v="Pedro Sánchez"/>
        <s v="Lucía Martínez"/>
        <s v="Jorge Castillo"/>
        <s v="Sofía Herrera"/>
        <s v="Diego Torres"/>
        <s v="Laura Díaz"/>
        <s v="Andrés Vargas"/>
        <s v="Paula Ríos"/>
        <s v="David Navarro"/>
        <s v="Valeria Cruz"/>
        <s v="Miguel Ángel"/>
        <s v="Camila Ortiz"/>
        <s v="Samuel Romero"/>
        <s v="Elena Núñez"/>
        <s v="Ricardo León"/>
        <s v="Isabel Vega"/>
        <s v="Tomás Fuentes"/>
      </sharedItems>
    </cacheField>
    <cacheField name="Mes" numFmtId="0">
      <sharedItems count="3">
        <s v="Enero"/>
        <s v="Febrero"/>
        <s v="Marzo"/>
      </sharedItems>
    </cacheField>
    <cacheField name="Total_Clientes_Ofrecidos" numFmtId="0">
      <sharedItems containsSemiMixedTypes="0" containsString="0" containsNumber="1" containsInteger="1" minValue="161" maxValue="444"/>
    </cacheField>
    <cacheField name="Total_Clientes_Aceptados" numFmtId="0">
      <sharedItems containsSemiMixedTypes="0" containsString="0" containsNumber="1" containsInteger="1" minValue="149" maxValue="385"/>
    </cacheField>
    <cacheField name="Productividad Ofrecidos%" numFmtId="10">
      <sharedItems containsSemiMixedTypes="0" containsString="0" containsNumber="1" minValue="0.77807486631016043" maxValue="1"/>
    </cacheField>
    <cacheField name="Viajes_Completados" numFmtId="0">
      <sharedItems containsSemiMixedTypes="0" containsString="0" containsNumber="1" containsInteger="1" minValue="142" maxValue="375"/>
    </cacheField>
    <cacheField name="Productividad Aceptados%" numFmtId="10">
      <sharedItems containsSemiMixedTypes="0" containsString="0" containsNumber="1" minValue="0.92890995260663511" maxValue="1"/>
    </cacheField>
    <cacheField name="Cancelados Por el Cliente" numFmtId="0">
      <sharedItems containsSemiMixedTypes="0" containsString="0" containsNumber="1" containsInteger="1" minValue="0" maxValue="22"/>
    </cacheField>
    <cacheField name="Productividad Cancelados por el Cliente%" numFmtId="10">
      <sharedItems containsSemiMixedTypes="0" containsString="0" containsNumber="1" minValue="0" maxValue="7.6530612244897961E-2"/>
    </cacheField>
    <cacheField name="Cancelados por el Conductor" numFmtId="0">
      <sharedItems containsSemiMixedTypes="0" containsString="0" containsNumber="1" containsInteger="1" minValue="0" maxValue="83"/>
    </cacheField>
    <cacheField name="Productividad Cancelados por el Conductor%" numFmtId="10">
      <sharedItems containsSemiMixedTypes="0" containsString="0" containsNumber="1" minValue="0" maxValue="0.29328621908127206"/>
    </cacheField>
    <cacheField name="Facturacion" numFmtId="0">
      <sharedItems containsSemiMixedTypes="0" containsString="0" containsNumber="1" minValue="639.51" maxValue="3519.14"/>
    </cacheField>
    <cacheField name="Propinas" numFmtId="0">
      <sharedItems containsSemiMixedTypes="0" containsString="0" containsNumber="1" minValue="23.54" maxValue="251.89"/>
    </cacheField>
    <cacheField name="Calificacion_Promedio" numFmtId="0">
      <sharedItems containsSemiMixedTypes="0" containsString="0" containsNumber="1" minValue="4.54" maxValue="5"/>
    </cacheField>
    <cacheField name="Distancia_KM" numFmtId="0">
      <sharedItems containsSemiMixedTypes="0" containsString="0" containsNumber="1" minValue="687.69" maxValue="2791.83"/>
    </cacheField>
    <cacheField name="Ingresos_Km" numFmtId="0">
      <sharedItems containsSemiMixedTypes="0" containsString="0" containsNumber="1" minValue="0.84" maxValue="1.5"/>
    </cacheField>
    <cacheField name="Tiempo_Promedio_de_viaje_min" numFmtId="0">
      <sharedItems containsSemiMixedTypes="0" containsString="0" containsNumber="1" minValue="21.64" maxValue="52.92"/>
    </cacheField>
    <cacheField name="Viajes_por_Hora" numFmtId="0">
      <sharedItems containsSemiMixedTypes="0" containsString="0" containsNumber="1" minValue="1.1299999999999999" maxValue="2.77"/>
    </cacheField>
    <cacheField name="Costos_€" numFmtId="0">
      <sharedItems containsSemiMixedTypes="0" containsString="0" containsNumber="1" minValue="267.52999999999997" maxValue="1346.98"/>
    </cacheField>
    <cacheField name="Ganancia_Neta_€" numFmtId="0">
      <sharedItems containsSemiMixedTypes="0" containsString="0" containsNumber="1" minValue="437.58" maxValue="2357.84"/>
    </cacheField>
    <cacheField name="Cantidad_de_Viajes_5_Estrellas" numFmtId="0">
      <sharedItems containsSemiMixedTypes="0" containsString="0" containsNumber="1" containsInteger="1" minValue="62" maxValue="255"/>
    </cacheField>
    <cacheField name="Porc_Viajes_5_Estrellas" numFmtId="10">
      <sharedItems containsSemiMixedTypes="0" containsString="0" containsNumber="1" minValue="0.3386454183266932" maxValue="0.927966101694915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D001"/>
    <s v="Juan Pérez"/>
    <x v="0"/>
    <n v="178.5"/>
    <n v="156.62"/>
    <n v="0.87742296918767515"/>
    <n v="35.659999999999997"/>
    <n v="0.2276848422934491"/>
    <n v="1938.59"/>
    <n v="160.02000000000001"/>
    <n v="2098.61"/>
    <n v="21"/>
    <n v="21"/>
    <n v="0"/>
    <n v="1"/>
    <s v="Diurno"/>
    <s v="Enero"/>
  </r>
  <r>
    <s v="D002"/>
    <s v="Ana Gómez"/>
    <x v="0"/>
    <n v="178.5"/>
    <n v="184.7"/>
    <n v="1.0347338935574228"/>
    <n v="30.01"/>
    <n v="0.16247969680563076"/>
    <n v="3145.89"/>
    <n v="161.80000000000001"/>
    <n v="3307.69"/>
    <n v="21"/>
    <n v="21"/>
    <n v="0"/>
    <n v="1"/>
    <s v="Diurno"/>
    <s v="Enero"/>
  </r>
  <r>
    <s v="D003"/>
    <s v="Carlos Ruiz"/>
    <x v="0"/>
    <n v="178.5"/>
    <n v="184.64"/>
    <n v="1.0343977591036413"/>
    <n v="45.19"/>
    <n v="0.24474653379549394"/>
    <n v="1856.21"/>
    <n v="153.28"/>
    <n v="2009.49"/>
    <n v="21"/>
    <n v="21"/>
    <n v="0"/>
    <n v="1"/>
    <s v="Diurno"/>
    <s v="Enero"/>
  </r>
  <r>
    <s v="D004"/>
    <s v="María López"/>
    <x v="0"/>
    <n v="178.5"/>
    <n v="164.65"/>
    <n v="0.92240896358543423"/>
    <n v="42.65"/>
    <n v="0.25903431521409048"/>
    <n v="2044.87"/>
    <n v="158.33000000000001"/>
    <n v="2203.1999999999998"/>
    <n v="21"/>
    <n v="21"/>
    <n v="0"/>
    <n v="1"/>
    <s v="Diurno"/>
    <s v="Enero"/>
  </r>
  <r>
    <s v="D005"/>
    <s v="Pedro Sánchez"/>
    <x v="0"/>
    <n v="178.5"/>
    <n v="179.64"/>
    <n v="1.0063865546218487"/>
    <n v="42.64"/>
    <n v="0.23736361612113116"/>
    <n v="1757.25"/>
    <n v="157.97"/>
    <n v="1915.22"/>
    <n v="21"/>
    <n v="21"/>
    <n v="0"/>
    <n v="1"/>
    <s v="Diurno"/>
    <s v="Enero"/>
  </r>
  <r>
    <s v="D006"/>
    <s v="Lucía Martínez"/>
    <x v="0"/>
    <n v="178.5"/>
    <n v="150.22999999999999"/>
    <n v="0.8416246498599439"/>
    <n v="30.03"/>
    <n v="0.19989349663848768"/>
    <n v="1511.39"/>
    <n v="116.62"/>
    <n v="1628.0100000000002"/>
    <n v="21"/>
    <n v="21"/>
    <n v="0"/>
    <n v="1"/>
    <s v="Diurno"/>
    <s v="Enero"/>
  </r>
  <r>
    <s v="D007"/>
    <s v="Jorge Castillo"/>
    <x v="0"/>
    <n v="178.5"/>
    <n v="159.46"/>
    <n v="0.89333333333333342"/>
    <n v="26.28"/>
    <n v="0.16480622099586104"/>
    <n v="2287.94"/>
    <n v="123.12"/>
    <n v="2411.06"/>
    <n v="21"/>
    <n v="21"/>
    <n v="0"/>
    <n v="1"/>
    <s v="Diurno"/>
    <s v="Enero"/>
  </r>
  <r>
    <s v="D008"/>
    <s v="Sofía Herrera"/>
    <x v="0"/>
    <n v="178.5"/>
    <n v="172.4"/>
    <n v="0.9658263305322129"/>
    <n v="33.979999999999997"/>
    <n v="0.1970997679814385"/>
    <n v="1871.83"/>
    <n v="137.22"/>
    <n v="2009.05"/>
    <n v="21"/>
    <n v="21"/>
    <n v="0"/>
    <n v="1"/>
    <s v="Diurno"/>
    <s v="Enero"/>
  </r>
  <r>
    <s v="D009"/>
    <s v="Diego Torres"/>
    <x v="0"/>
    <n v="178.5"/>
    <n v="177.16"/>
    <n v="0.99249299719887951"/>
    <n v="21.04"/>
    <n v="0.11876270038383382"/>
    <n v="1287.3"/>
    <n v="110.69"/>
    <n v="1397.99"/>
    <n v="21"/>
    <n v="21"/>
    <n v="0"/>
    <n v="1"/>
    <s v="Diurno"/>
    <s v="Enero"/>
  </r>
  <r>
    <s v="D010"/>
    <s v="Laura Díaz"/>
    <x v="0"/>
    <n v="178.5"/>
    <n v="162.82"/>
    <n v="0.912156862745098"/>
    <n v="33.81"/>
    <n v="0.207652622527945"/>
    <n v="1763.72"/>
    <n v="84.86"/>
    <n v="1848.58"/>
    <n v="21"/>
    <n v="21"/>
    <n v="0"/>
    <n v="1"/>
    <s v="Diurno"/>
    <s v="Enero"/>
  </r>
  <r>
    <s v="D011"/>
    <s v="Andrés Vargas"/>
    <x v="0"/>
    <n v="189"/>
    <n v="178.99"/>
    <n v="0.94703703703703712"/>
    <n v="41.88"/>
    <n v="0.23397955193027545"/>
    <n v="2089.9899999999998"/>
    <n v="182.21"/>
    <n v="2272.1999999999998"/>
    <n v="21"/>
    <n v="21"/>
    <n v="0"/>
    <n v="1"/>
    <s v="Nocturno"/>
    <s v="Enero"/>
  </r>
  <r>
    <s v="D012"/>
    <s v="Paula Ríos"/>
    <x v="0"/>
    <n v="189"/>
    <n v="216.66"/>
    <n v="1.1463492063492062"/>
    <n v="32.21"/>
    <n v="0.14866611280347089"/>
    <n v="2621.5"/>
    <n v="80.180000000000007"/>
    <n v="2701.68"/>
    <n v="21"/>
    <n v="21"/>
    <n v="0"/>
    <n v="1"/>
    <s v="Nocturno"/>
    <s v="Enero"/>
  </r>
  <r>
    <s v="D013"/>
    <s v="David Navarro"/>
    <x v="0"/>
    <n v="189"/>
    <n v="204.84"/>
    <n v="1.0838095238095238"/>
    <n v="69.61"/>
    <n v="0.33982620581917594"/>
    <n v="2660.71"/>
    <n v="137.54"/>
    <n v="2798.25"/>
    <n v="21"/>
    <n v="21"/>
    <n v="0"/>
    <n v="1"/>
    <s v="Nocturno"/>
    <s v="Enero"/>
  </r>
  <r>
    <s v="D014"/>
    <s v="Valeria Cruz"/>
    <x v="0"/>
    <n v="189"/>
    <n v="209.15"/>
    <n v="1.1066137566137566"/>
    <n v="47.98"/>
    <n v="0.22940473344489598"/>
    <n v="2716.28"/>
    <n v="170.05"/>
    <n v="2886.3300000000004"/>
    <n v="21"/>
    <n v="21"/>
    <n v="0"/>
    <n v="1"/>
    <s v="Nocturno"/>
    <s v="Enero"/>
  </r>
  <r>
    <s v="D015"/>
    <s v="Miguel Ángel"/>
    <x v="0"/>
    <n v="189"/>
    <n v="166.6"/>
    <n v="0.88148148148148142"/>
    <n v="27.01"/>
    <n v="0.162124849939976"/>
    <n v="1559.57"/>
    <n v="105.58"/>
    <n v="1665.1499999999999"/>
    <n v="21"/>
    <n v="21"/>
    <n v="0"/>
    <n v="1"/>
    <s v="Nocturno"/>
    <s v="Enero"/>
  </r>
  <r>
    <s v="D016"/>
    <s v="Camila Ortiz"/>
    <x v="0"/>
    <n v="189"/>
    <n v="168.21"/>
    <n v="0.89"/>
    <n v="41.51"/>
    <n v="0.24677486475239283"/>
    <n v="2321.8200000000002"/>
    <n v="133.80000000000001"/>
    <n v="2455.6200000000003"/>
    <n v="21"/>
    <n v="20"/>
    <n v="1"/>
    <n v="0.95238095238095233"/>
    <s v="Nocturno"/>
    <s v="Enero"/>
  </r>
  <r>
    <s v="D017"/>
    <s v="Samuel Romero"/>
    <x v="0"/>
    <n v="189"/>
    <n v="165.55"/>
    <n v="0.875925925925926"/>
    <n v="32.340000000000003"/>
    <n v="0.19534883720930232"/>
    <n v="1308.51"/>
    <n v="121.72"/>
    <n v="1430.23"/>
    <n v="21"/>
    <n v="18"/>
    <n v="3"/>
    <n v="0.8571428571428571"/>
    <s v="Nocturno"/>
    <s v="Enero"/>
  </r>
  <r>
    <s v="D018"/>
    <s v="Elena Núñez"/>
    <x v="0"/>
    <n v="189"/>
    <n v="164.45"/>
    <n v="0.87010582010582005"/>
    <n v="50.6"/>
    <n v="0.30769230769230771"/>
    <n v="1307.95"/>
    <n v="87.31"/>
    <n v="1395.26"/>
    <n v="21"/>
    <n v="19"/>
    <n v="2"/>
    <n v="0.90476190476190477"/>
    <s v="Nocturno"/>
    <s v="Enero"/>
  </r>
  <r>
    <s v="D001"/>
    <s v="Juan Pérez"/>
    <x v="1"/>
    <n v="178.5"/>
    <n v="189.32"/>
    <n v="1.0606162464985993"/>
    <n v="18.36"/>
    <n v="9.6978660469047115E-2"/>
    <n v="2486.7399999999998"/>
    <n v="83.24"/>
    <n v="2569.9799999999996"/>
    <n v="21"/>
    <n v="21"/>
    <n v="0"/>
    <n v="1"/>
    <s v="Diurno"/>
    <s v="Enero"/>
  </r>
  <r>
    <s v="D002"/>
    <s v="Ana Gómez"/>
    <x v="1"/>
    <n v="178.5"/>
    <n v="173"/>
    <n v="0.96918767507002801"/>
    <n v="48.47"/>
    <n v="0.28017341040462429"/>
    <n v="1879.46"/>
    <n v="119.4"/>
    <n v="1998.8600000000001"/>
    <n v="21"/>
    <n v="21"/>
    <n v="0"/>
    <n v="1"/>
    <s v="Diurno"/>
    <s v="Enero"/>
  </r>
  <r>
    <s v="D003"/>
    <s v="Carlos Ruiz"/>
    <x v="1"/>
    <n v="178.5"/>
    <n v="182.33"/>
    <n v="1.0214565826330533"/>
    <n v="67.650000000000006"/>
    <n v="0.37103054900455218"/>
    <n v="1895.55"/>
    <n v="159.44999999999999"/>
    <n v="2055"/>
    <n v="21"/>
    <n v="21"/>
    <n v="0"/>
    <n v="1"/>
    <s v="Diurno"/>
    <s v="Enero"/>
  </r>
  <r>
    <s v="D004"/>
    <s v="María López"/>
    <x v="1"/>
    <n v="178.5"/>
    <n v="142.43"/>
    <n v="0.79792717086834741"/>
    <n v="29.94"/>
    <n v="0.21020852348522082"/>
    <n v="639.51"/>
    <n v="65.599999999999994"/>
    <n v="705.11"/>
    <n v="21"/>
    <n v="21"/>
    <n v="0"/>
    <n v="1"/>
    <s v="Diurno"/>
    <s v="Enero"/>
  </r>
  <r>
    <s v="D005"/>
    <s v="Pedro Sánchez"/>
    <x v="1"/>
    <n v="178.5"/>
    <n v="209.36"/>
    <n v="1.1728851540616247"/>
    <n v="82.55"/>
    <n v="0.39429690485288493"/>
    <n v="1095.25"/>
    <n v="82.74"/>
    <n v="1177.99"/>
    <n v="21"/>
    <n v="21"/>
    <n v="0"/>
    <n v="1"/>
    <s v="Diurno"/>
    <s v="Enero"/>
  </r>
  <r>
    <s v="D006"/>
    <s v="Lucía Martínez"/>
    <x v="1"/>
    <n v="178.5"/>
    <n v="176.25"/>
    <n v="0.98739495798319332"/>
    <n v="24.24"/>
    <n v="0.13753191489361702"/>
    <n v="2608.54"/>
    <n v="164.62"/>
    <n v="2773.16"/>
    <n v="21"/>
    <n v="21"/>
    <n v="0"/>
    <n v="1"/>
    <s v="Diurno"/>
    <s v="Enero"/>
  </r>
  <r>
    <s v="D007"/>
    <s v="Jorge Castillo"/>
    <x v="1"/>
    <n v="178.5"/>
    <n v="178.5"/>
    <n v="1"/>
    <n v="31.54"/>
    <n v="0.17669467787114845"/>
    <n v="2147.8000000000002"/>
    <n v="81.08"/>
    <n v="2228.88"/>
    <n v="21"/>
    <n v="21"/>
    <n v="0"/>
    <n v="1"/>
    <s v="Diurno"/>
    <s v="Enero"/>
  </r>
  <r>
    <s v="D008"/>
    <s v="Sofía Herrera"/>
    <x v="1"/>
    <n v="178.5"/>
    <n v="186.57"/>
    <n v="1.0452100840336134"/>
    <n v="21.52"/>
    <n v="0.11534544674920941"/>
    <n v="2874.3"/>
    <n v="155.66"/>
    <n v="3029.96"/>
    <n v="21"/>
    <n v="21"/>
    <n v="0"/>
    <n v="1"/>
    <s v="Diurno"/>
    <s v="Enero"/>
  </r>
  <r>
    <s v="D009"/>
    <s v="Diego Torres"/>
    <x v="1"/>
    <n v="178.5"/>
    <n v="181.06"/>
    <n v="1.0143417366946779"/>
    <n v="55.82"/>
    <n v="0.30829559262123052"/>
    <n v="748.01"/>
    <n v="49.79"/>
    <n v="797.8"/>
    <n v="21"/>
    <n v="21"/>
    <n v="0"/>
    <n v="1"/>
    <s v="Diurno"/>
    <s v="Enero"/>
  </r>
  <r>
    <s v="D010"/>
    <s v="Laura Díaz"/>
    <x v="1"/>
    <n v="178.5"/>
    <n v="193.01"/>
    <n v="1.0812885154061624"/>
    <n v="38.659999999999997"/>
    <n v="0.20030050256463394"/>
    <n v="3014.89"/>
    <n v="251.89"/>
    <n v="3266.7799999999997"/>
    <n v="21"/>
    <n v="21"/>
    <n v="0"/>
    <n v="1"/>
    <s v="Diurno"/>
    <s v="Enero"/>
  </r>
  <r>
    <s v="D011"/>
    <s v="Andrés Vargas"/>
    <x v="1"/>
    <n v="189"/>
    <n v="197.3"/>
    <n v="1.0439153439153439"/>
    <n v="53.21"/>
    <n v="0.26969082615306639"/>
    <n v="1565.43"/>
    <n v="87.96"/>
    <n v="1653.39"/>
    <n v="21"/>
    <n v="21"/>
    <n v="0"/>
    <n v="1"/>
    <s v="Nocturno"/>
    <s v="Enero"/>
  </r>
  <r>
    <s v="D012"/>
    <s v="Paula Ríos"/>
    <x v="1"/>
    <n v="189"/>
    <n v="223.41"/>
    <n v="1.182063492063492"/>
    <n v="58.95"/>
    <n v="0.26386464348059624"/>
    <n v="2566.2600000000002"/>
    <n v="118.1"/>
    <n v="2684.36"/>
    <n v="21"/>
    <n v="21"/>
    <n v="0"/>
    <n v="1"/>
    <s v="Nocturno"/>
    <s v="Enero"/>
  </r>
  <r>
    <s v="D013"/>
    <s v="David Navarro"/>
    <x v="1"/>
    <n v="189"/>
    <n v="166.01"/>
    <n v="0.87835978835978834"/>
    <n v="29.84"/>
    <n v="0.17974820793928079"/>
    <n v="2188.38"/>
    <n v="149.41999999999999"/>
    <n v="2337.8000000000002"/>
    <n v="21"/>
    <n v="21"/>
    <n v="0"/>
    <n v="1"/>
    <s v="Nocturno"/>
    <s v="Enero"/>
  </r>
  <r>
    <s v="D014"/>
    <s v="Valeria Cruz"/>
    <x v="1"/>
    <n v="189"/>
    <n v="177.83"/>
    <n v="0.94089947089947101"/>
    <n v="45.43"/>
    <n v="0.25546870606759264"/>
    <n v="1356.83"/>
    <n v="110.4"/>
    <n v="1467.23"/>
    <n v="21"/>
    <n v="21"/>
    <n v="0"/>
    <n v="1"/>
    <s v="Nocturno"/>
    <s v="Enero"/>
  </r>
  <r>
    <s v="D015"/>
    <s v="Miguel Ángel"/>
    <x v="1"/>
    <n v="189"/>
    <n v="194.11"/>
    <n v="1.0270370370370372"/>
    <n v="32.65"/>
    <n v="0.16820359589923237"/>
    <n v="1667.07"/>
    <n v="149.41999999999999"/>
    <n v="1816.49"/>
    <n v="21"/>
    <n v="21"/>
    <n v="0"/>
    <n v="1"/>
    <s v="Nocturno"/>
    <s v="Enero"/>
  </r>
  <r>
    <s v="D016"/>
    <s v="Camila Ortiz"/>
    <x v="1"/>
    <n v="189"/>
    <n v="174.46"/>
    <n v="0.92306878306878315"/>
    <n v="47.22"/>
    <n v="0.27066376246704116"/>
    <n v="2659.7"/>
    <n v="148.66999999999999"/>
    <n v="2808.37"/>
    <n v="21"/>
    <n v="19"/>
    <n v="2"/>
    <n v="0.90476190476190477"/>
    <s v="Nocturno"/>
    <s v="Enero"/>
  </r>
  <r>
    <s v="D017"/>
    <s v="Samuel Romero"/>
    <x v="1"/>
    <n v="189"/>
    <n v="163.16999999999999"/>
    <n v="0.86333333333333329"/>
    <n v="36.950000000000003"/>
    <n v="0.22645094073665506"/>
    <n v="1865.55"/>
    <n v="131.49"/>
    <n v="1997.04"/>
    <n v="21"/>
    <n v="19"/>
    <n v="2"/>
    <n v="0.90476190476190477"/>
    <s v="Nocturno"/>
    <s v="Enero"/>
  </r>
  <r>
    <s v="D018"/>
    <s v="Elena Núñez"/>
    <x v="1"/>
    <n v="189"/>
    <n v="124.58"/>
    <n v="0.65915343915343916"/>
    <n v="27.81"/>
    <n v="0.2232300529780061"/>
    <n v="1538.32"/>
    <n v="108.61"/>
    <n v="1646.9299999999998"/>
    <n v="21"/>
    <n v="18"/>
    <n v="3"/>
    <n v="0.8571428571428571"/>
    <s v="Nocturno"/>
    <s v="Enero"/>
  </r>
  <r>
    <s v="D019"/>
    <s v="Ricardo León"/>
    <x v="1"/>
    <n v="189"/>
    <n v="192.72"/>
    <n v="1.0196825396825397"/>
    <n v="51.89"/>
    <n v="0.26925072644250725"/>
    <n v="1654.27"/>
    <n v="56.36"/>
    <n v="1710.6299999999999"/>
    <n v="21"/>
    <n v="21"/>
    <n v="0"/>
    <n v="1"/>
    <s v="Nocturno"/>
    <s v="Febrero"/>
  </r>
  <r>
    <s v="D020"/>
    <s v="Isabel Vega"/>
    <x v="1"/>
    <n v="189"/>
    <n v="176.18"/>
    <n v="0.9321693121693122"/>
    <n v="46.68"/>
    <n v="0.26495629469860371"/>
    <n v="2033.79"/>
    <n v="125.77"/>
    <n v="2159.56"/>
    <n v="21"/>
    <n v="21"/>
    <n v="0"/>
    <n v="1"/>
    <s v="Nocturno"/>
    <s v="Febrero"/>
  </r>
  <r>
    <s v="D021"/>
    <s v="Tomás Fuentes"/>
    <x v="1"/>
    <n v="147"/>
    <n v="115.91"/>
    <n v="0.7885034013605442"/>
    <n v="19.32"/>
    <n v="0.16668104563885774"/>
    <n v="1218.98"/>
    <n v="84.71"/>
    <n v="1303.69"/>
    <n v="21"/>
    <n v="21"/>
    <n v="0"/>
    <n v="1"/>
    <s v="Reserva"/>
    <s v="Febrero"/>
  </r>
  <r>
    <s v="D001"/>
    <s v="Juan Pérez"/>
    <x v="2"/>
    <n v="178.5"/>
    <n v="194.1"/>
    <n v="1.0873949579831932"/>
    <n v="35.659999999999997"/>
    <n v="0.18371973209685727"/>
    <n v="2057.58"/>
    <n v="138.35"/>
    <n v="2195.9299999999998"/>
    <n v="21"/>
    <n v="21"/>
    <n v="0"/>
    <n v="1"/>
    <s v="Diurno"/>
    <s v="Enero"/>
  </r>
  <r>
    <s v="D002"/>
    <s v="Ana Gómez"/>
    <x v="2"/>
    <n v="178.5"/>
    <n v="153.69"/>
    <n v="0.86100840336134454"/>
    <n v="43.65"/>
    <n v="0.28401327347257466"/>
    <n v="2006.13"/>
    <n v="203.7"/>
    <n v="2209.83"/>
    <n v="21"/>
    <n v="21"/>
    <n v="0"/>
    <n v="1"/>
    <s v="Diurno"/>
    <s v="Enero"/>
  </r>
  <r>
    <s v="D003"/>
    <s v="Carlos Ruiz"/>
    <x v="2"/>
    <n v="178.5"/>
    <n v="196.58"/>
    <n v="1.1012885154061625"/>
    <n v="33.270000000000003"/>
    <n v="0.1692440736595788"/>
    <n v="1129.21"/>
    <n v="42.52"/>
    <n v="1171.73"/>
    <n v="21"/>
    <n v="21"/>
    <n v="0"/>
    <n v="1"/>
    <s v="Diurno"/>
    <s v="Enero"/>
  </r>
  <r>
    <s v="D004"/>
    <s v="María López"/>
    <x v="2"/>
    <n v="178.5"/>
    <n v="211.05"/>
    <n v="1.1823529411764706"/>
    <n v="60.43"/>
    <n v="0.28633025349443259"/>
    <n v="2047.08"/>
    <n v="108.94"/>
    <n v="2156.02"/>
    <n v="21"/>
    <n v="21"/>
    <n v="0"/>
    <n v="1"/>
    <s v="Diurno"/>
    <s v="Enero"/>
  </r>
  <r>
    <s v="D005"/>
    <s v="Pedro Sánchez"/>
    <x v="2"/>
    <n v="178.5"/>
    <n v="178.61"/>
    <n v="1.0006162464985995"/>
    <n v="67.13"/>
    <n v="0.37584681708750906"/>
    <n v="1579.66"/>
    <n v="70.150000000000006"/>
    <n v="1649.8100000000002"/>
    <n v="21"/>
    <n v="21"/>
    <n v="0"/>
    <n v="1"/>
    <s v="Diurno"/>
    <s v="Enero"/>
  </r>
  <r>
    <s v="D006"/>
    <s v="Lucía Martínez"/>
    <x v="2"/>
    <n v="178.5"/>
    <n v="189.68"/>
    <n v="1.0626330532212886"/>
    <n v="54.08"/>
    <n v="0.285111767186841"/>
    <n v="1888.53"/>
    <n v="100.64"/>
    <n v="1989.17"/>
    <n v="21"/>
    <n v="21"/>
    <n v="0"/>
    <n v="1"/>
    <s v="Diurno"/>
    <s v="Enero"/>
  </r>
  <r>
    <s v="D007"/>
    <s v="Jorge Castillo"/>
    <x v="2"/>
    <n v="178.5"/>
    <n v="201.41"/>
    <n v="1.1283473389355743"/>
    <n v="55.13"/>
    <n v="0.27372027208182315"/>
    <n v="3028.52"/>
    <n v="147.82"/>
    <n v="3176.34"/>
    <n v="21"/>
    <n v="21"/>
    <n v="0"/>
    <n v="1"/>
    <s v="Diurno"/>
    <s v="Enero"/>
  </r>
  <r>
    <s v="D008"/>
    <s v="Sofía Herrera"/>
    <x v="2"/>
    <n v="178.5"/>
    <n v="173.5"/>
    <n v="0.97198879551820727"/>
    <n v="39.21"/>
    <n v="0.22599423631123919"/>
    <n v="1770.02"/>
    <n v="163.87"/>
    <n v="1933.8899999999999"/>
    <n v="21"/>
    <n v="21"/>
    <n v="0"/>
    <n v="1"/>
    <s v="Diurno"/>
    <s v="Enero"/>
  </r>
  <r>
    <s v="D009"/>
    <s v="Diego Torres"/>
    <x v="2"/>
    <n v="178.5"/>
    <n v="200.94"/>
    <n v="1.1257142857142857"/>
    <n v="41.9"/>
    <n v="0.20851995620583258"/>
    <n v="3519.14"/>
    <n v="185.69"/>
    <n v="3704.83"/>
    <n v="21"/>
    <n v="21"/>
    <n v="0"/>
    <n v="1"/>
    <s v="Diurno"/>
    <s v="Enero"/>
  </r>
  <r>
    <s v="D010"/>
    <s v="Laura Díaz"/>
    <x v="2"/>
    <n v="178.5"/>
    <n v="186.1"/>
    <n v="1.042577030812325"/>
    <n v="23.46"/>
    <n v="0.12606125738850082"/>
    <n v="1622.59"/>
    <n v="70.540000000000006"/>
    <n v="1693.1299999999999"/>
    <n v="21"/>
    <n v="21"/>
    <n v="0"/>
    <n v="1"/>
    <s v="Diurno"/>
    <s v="Enero"/>
  </r>
  <r>
    <s v="D011"/>
    <s v="Andrés Vargas"/>
    <x v="2"/>
    <n v="189"/>
    <n v="184.21"/>
    <n v="0.97465608465608466"/>
    <n v="38.770000000000003"/>
    <n v="0.21046631561804463"/>
    <n v="2488.06"/>
    <n v="164.03"/>
    <n v="2652.09"/>
    <n v="21"/>
    <n v="21"/>
    <n v="0"/>
    <n v="1"/>
    <s v="Nocturno"/>
    <s v="Enero"/>
  </r>
  <r>
    <s v="D012"/>
    <s v="Paula Ríos"/>
    <x v="2"/>
    <n v="189"/>
    <n v="183.2"/>
    <n v="0.96931216931216924"/>
    <n v="32.020000000000003"/>
    <n v="0.17478165938864632"/>
    <n v="1945.29"/>
    <n v="86.93"/>
    <n v="2032.22"/>
    <n v="21"/>
    <n v="21"/>
    <n v="0"/>
    <n v="1"/>
    <s v="Nocturno"/>
    <s v="Enero"/>
  </r>
  <r>
    <s v="D013"/>
    <s v="David Navarro"/>
    <x v="2"/>
    <n v="189"/>
    <n v="185.98"/>
    <n v="0.98402116402116402"/>
    <n v="33.630000000000003"/>
    <n v="0.1808258952575546"/>
    <n v="2203.98"/>
    <n v="140.61000000000001"/>
    <n v="2344.59"/>
    <n v="21"/>
    <n v="21"/>
    <n v="0"/>
    <n v="1"/>
    <s v="Nocturno"/>
    <s v="Enero"/>
  </r>
  <r>
    <s v="D014"/>
    <s v="Valeria Cruz"/>
    <x v="2"/>
    <n v="189"/>
    <n v="212.59"/>
    <n v="1.1248148148148149"/>
    <n v="43.55"/>
    <n v="0.20485441460087492"/>
    <n v="2090.92"/>
    <n v="208.98"/>
    <n v="2299.9"/>
    <n v="21"/>
    <n v="21"/>
    <n v="0"/>
    <n v="1"/>
    <s v="Nocturno"/>
    <s v="Enero"/>
  </r>
  <r>
    <s v="D015"/>
    <s v="Miguel Ángel"/>
    <x v="2"/>
    <n v="189"/>
    <n v="193.45"/>
    <n v="1.0235449735449735"/>
    <n v="61.26"/>
    <n v="0.31667097441199277"/>
    <n v="1009.77"/>
    <n v="50.07"/>
    <n v="1059.8399999999999"/>
    <n v="21"/>
    <n v="21"/>
    <n v="0"/>
    <n v="1"/>
    <s v="Nocturno"/>
    <s v="Enero"/>
  </r>
  <r>
    <s v="D016"/>
    <s v="Camila Ortiz"/>
    <x v="2"/>
    <n v="189"/>
    <n v="148.05000000000001"/>
    <n v="0.78333333333333344"/>
    <n v="37.15"/>
    <n v="0.25092874029044238"/>
    <n v="1765.83"/>
    <n v="121.78"/>
    <n v="1887.61"/>
    <n v="21"/>
    <n v="20"/>
    <n v="1"/>
    <n v="0.95238095238095233"/>
    <s v="Nocturno"/>
    <s v="Enero"/>
  </r>
  <r>
    <s v="D017"/>
    <s v="Samuel Romero"/>
    <x v="2"/>
    <n v="189"/>
    <n v="145.24"/>
    <n v="0.76846560846560852"/>
    <n v="34"/>
    <n v="0.23409529055356651"/>
    <n v="1472.84"/>
    <n v="70.28"/>
    <n v="1543.12"/>
    <n v="21"/>
    <n v="18"/>
    <n v="3"/>
    <n v="0.8571428571428571"/>
    <s v="Nocturno"/>
    <s v="Enero"/>
  </r>
  <r>
    <s v="D018"/>
    <s v="Elena Núñez"/>
    <x v="2"/>
    <n v="189"/>
    <n v="180.58"/>
    <n v="0.95544973544973555"/>
    <n v="42.64"/>
    <n v="0.23612803189722006"/>
    <n v="2004.1"/>
    <n v="23.54"/>
    <n v="2027.6399999999999"/>
    <n v="21"/>
    <n v="20"/>
    <n v="1"/>
    <n v="0.95238095238095233"/>
    <s v="Nocturno"/>
    <s v="Enero"/>
  </r>
  <r>
    <s v="D019"/>
    <s v="Ricardo León"/>
    <x v="2"/>
    <n v="189"/>
    <n v="181.34"/>
    <n v="0.95947089947089947"/>
    <n v="18.82"/>
    <n v="0.10378294915628102"/>
    <n v="2662.03"/>
    <n v="80.16"/>
    <n v="2742.19"/>
    <n v="21"/>
    <n v="21"/>
    <n v="0"/>
    <n v="1"/>
    <s v="Nocturno"/>
    <s v="Febrero"/>
  </r>
  <r>
    <s v="D020"/>
    <s v="Isabel Vega"/>
    <x v="2"/>
    <n v="189"/>
    <n v="192.25"/>
    <n v="1.0171957671957672"/>
    <n v="38.4"/>
    <n v="0.19973992197659296"/>
    <n v="2414.0500000000002"/>
    <n v="136.43"/>
    <n v="2550.48"/>
    <n v="21"/>
    <n v="21"/>
    <n v="0"/>
    <n v="1"/>
    <s v="Nocturno"/>
    <s v="Febrero"/>
  </r>
  <r>
    <s v="D021"/>
    <s v="Tomás Fuentes"/>
    <x v="2"/>
    <n v="147"/>
    <n v="159.33000000000001"/>
    <n v="1.0838775510204082"/>
    <n v="38.11"/>
    <n v="0.23918910437456847"/>
    <n v="904.64"/>
    <n v="37.950000000000003"/>
    <n v="942.59"/>
    <n v="21"/>
    <n v="21"/>
    <n v="0"/>
    <n v="1"/>
    <s v="Reserva"/>
    <s v="Febrer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251"/>
    <n v="231"/>
    <n v="0.92031872509960155"/>
    <n v="218"/>
    <n v="0.94372294372294374"/>
    <n v="13"/>
    <n v="5.9633027522935783E-2"/>
    <n v="20"/>
    <n v="9.1743119266055051E-2"/>
    <n v="1938.59"/>
    <n v="160.02000000000001"/>
    <n v="4.84"/>
    <n v="1671.34"/>
    <n v="1.1599999999999999"/>
    <n v="33.29"/>
    <n v="1.81"/>
    <n v="769.35"/>
    <n v="1329.26"/>
    <n v="113"/>
    <n v="0.51834862385321101"/>
  </r>
  <r>
    <x v="1"/>
    <x v="1"/>
    <x v="0"/>
    <n v="384"/>
    <n v="344"/>
    <n v="0.89583333333333337"/>
    <n v="335"/>
    <n v="0.97383720930232553"/>
    <n v="9"/>
    <n v="2.6865671641791045E-2"/>
    <n v="40"/>
    <n v="0.11940298507462686"/>
    <n v="3145.89"/>
    <n v="161.80000000000001"/>
    <n v="4.74"/>
    <n v="2791.83"/>
    <n v="1.1299999999999999"/>
    <n v="27.71"/>
    <n v="2.16"/>
    <n v="1256.5"/>
    <n v="2051.19"/>
    <n v="229"/>
    <n v="0.68358208955223876"/>
  </r>
  <r>
    <x v="2"/>
    <x v="2"/>
    <x v="0"/>
    <n v="374"/>
    <n v="291"/>
    <n v="0.77807486631016043"/>
    <n v="283"/>
    <n v="0.97250859106529208"/>
    <n v="8"/>
    <n v="2.8268551236749116E-2"/>
    <n v="83"/>
    <n v="0.29328621908127206"/>
    <n v="1856.21"/>
    <n v="153.28"/>
    <n v="4.7699999999999996"/>
    <n v="1494.05"/>
    <n v="1.24"/>
    <n v="29.56"/>
    <n v="2.0299999999999998"/>
    <n v="725.95"/>
    <n v="1283.54"/>
    <n v="147"/>
    <n v="0.51943462897526504"/>
  </r>
  <r>
    <x v="3"/>
    <x v="3"/>
    <x v="0"/>
    <n v="310"/>
    <n v="271"/>
    <n v="0.87419354838709673"/>
    <n v="259"/>
    <n v="0.955719557195572"/>
    <n v="12"/>
    <n v="4.633204633204633E-2"/>
    <n v="39"/>
    <n v="0.15057915057915058"/>
    <n v="2044.87"/>
    <n v="158.33000000000001"/>
    <n v="4.8099999999999996"/>
    <n v="1728.83"/>
    <n v="1.18"/>
    <n v="28.26"/>
    <n v="2.12"/>
    <n v="808.09"/>
    <n v="1395.11"/>
    <n v="182"/>
    <n v="0.70270270270270274"/>
  </r>
  <r>
    <x v="4"/>
    <x v="4"/>
    <x v="0"/>
    <n v="296"/>
    <n v="295"/>
    <n v="0.9966216216216216"/>
    <n v="286"/>
    <n v="0.96949152542372885"/>
    <n v="9"/>
    <n v="3.1468531468531472E-2"/>
    <n v="1"/>
    <n v="3.4965034965034965E-3"/>
    <n v="1757.25"/>
    <n v="157.97"/>
    <n v="4.68"/>
    <n v="1584.92"/>
    <n v="1.1100000000000001"/>
    <n v="28.74"/>
    <n v="2.09"/>
    <n v="704.43"/>
    <n v="1210.79"/>
    <n v="211"/>
    <n v="0.73776223776223782"/>
  </r>
  <r>
    <x v="5"/>
    <x v="5"/>
    <x v="0"/>
    <n v="281"/>
    <n v="247"/>
    <n v="0.87900355871886116"/>
    <n v="234"/>
    <n v="0.94736842105263153"/>
    <n v="13"/>
    <n v="5.5555555555555552E-2"/>
    <n v="34"/>
    <n v="0.14529914529914531"/>
    <n v="1511.39"/>
    <n v="116.62"/>
    <n v="4.76"/>
    <n v="1398.6"/>
    <n v="1.08"/>
    <n v="30.82"/>
    <n v="1.95"/>
    <n v="609.44000000000005"/>
    <n v="1018.57"/>
    <n v="109"/>
    <n v="0.46581196581196582"/>
  </r>
  <r>
    <x v="6"/>
    <x v="6"/>
    <x v="0"/>
    <n v="318"/>
    <n v="282"/>
    <n v="0.8867924528301887"/>
    <n v="273"/>
    <n v="0.96808510638297873"/>
    <n v="9"/>
    <n v="3.2967032967032968E-2"/>
    <n v="36"/>
    <n v="0.13186813186813187"/>
    <n v="2287.94"/>
    <n v="123.12"/>
    <n v="4.83"/>
    <n v="1839.42"/>
    <n v="1.24"/>
    <n v="29.27"/>
    <n v="2.0499999999999998"/>
    <n v="894.58"/>
    <n v="1516.48"/>
    <n v="148"/>
    <n v="0.54212454212454209"/>
  </r>
  <r>
    <x v="7"/>
    <x v="7"/>
    <x v="0"/>
    <n v="254"/>
    <n v="222"/>
    <n v="0.87401574803149606"/>
    <n v="213"/>
    <n v="0.95945945945945943"/>
    <n v="9"/>
    <n v="4.2253521126760563E-2"/>
    <n v="32"/>
    <n v="0.15023474178403756"/>
    <n v="1871.83"/>
    <n v="137.22"/>
    <n v="4.7699999999999996"/>
    <n v="1538.1"/>
    <n v="1.22"/>
    <n v="38.99"/>
    <n v="1.54"/>
    <n v="735.23"/>
    <n v="1273.82"/>
    <n v="121"/>
    <n v="0.568075117370892"/>
  </r>
  <r>
    <x v="8"/>
    <x v="8"/>
    <x v="0"/>
    <n v="240"/>
    <n v="240"/>
    <n v="1"/>
    <n v="229"/>
    <n v="0.95416666666666672"/>
    <n v="11"/>
    <n v="4.8034934497816595E-2"/>
    <n v="0"/>
    <n v="0"/>
    <n v="1287.3"/>
    <n v="110.69"/>
    <n v="4.74"/>
    <n v="1177.47"/>
    <n v="1.0900000000000001"/>
    <n v="40.909999999999997"/>
    <n v="1.47"/>
    <n v="517.69000000000005"/>
    <n v="880.29"/>
    <n v="162"/>
    <n v="0.70742358078602618"/>
  </r>
  <r>
    <x v="9"/>
    <x v="9"/>
    <x v="0"/>
    <n v="234"/>
    <n v="209"/>
    <n v="0.89316239316239321"/>
    <n v="208"/>
    <n v="0.99521531100478466"/>
    <n v="1"/>
    <n v="4.807692307692308E-3"/>
    <n v="25"/>
    <n v="0.1201923076923077"/>
    <n v="1763.72"/>
    <n v="84.86"/>
    <n v="4.6100000000000003"/>
    <n v="1487.54"/>
    <n v="1.19"/>
    <n v="37.21"/>
    <n v="1.61"/>
    <n v="696.62"/>
    <n v="1151.96"/>
    <n v="131"/>
    <n v="0.62980769230769229"/>
  </r>
  <r>
    <x v="10"/>
    <x v="10"/>
    <x v="0"/>
    <n v="334"/>
    <n v="266"/>
    <n v="0.79640718562874246"/>
    <n v="261"/>
    <n v="0.98120300751879697"/>
    <n v="5"/>
    <n v="1.9157088122605363E-2"/>
    <n v="68"/>
    <n v="0.26053639846743293"/>
    <n v="2089.9899999999998"/>
    <n v="182.21"/>
    <n v="4.88"/>
    <n v="1766.69"/>
    <n v="1.18"/>
    <n v="31.52"/>
    <n v="1.91"/>
    <n v="825.89"/>
    <n v="1446.31"/>
    <n v="173"/>
    <n v="0.66283524904214564"/>
  </r>
  <r>
    <x v="11"/>
    <x v="11"/>
    <x v="0"/>
    <n v="339"/>
    <n v="319"/>
    <n v="0.94100294985250732"/>
    <n v="315"/>
    <n v="0.98746081504702199"/>
    <n v="4"/>
    <n v="1.2698412698412698E-2"/>
    <n v="20"/>
    <n v="6.3492063492063489E-2"/>
    <n v="2621.5"/>
    <n v="80.180000000000007"/>
    <n v="4.66"/>
    <n v="2347.61"/>
    <n v="1.1200000000000001"/>
    <n v="35.130000000000003"/>
    <n v="1.71"/>
    <n v="1049.19"/>
    <n v="1652.49"/>
    <n v="207"/>
    <n v="0.65714285714285714"/>
  </r>
  <r>
    <x v="12"/>
    <x v="12"/>
    <x v="0"/>
    <n v="444"/>
    <n v="375"/>
    <n v="0.84459459459459463"/>
    <n v="375"/>
    <n v="1"/>
    <n v="0"/>
    <n v="0"/>
    <n v="69"/>
    <n v="0.184"/>
    <n v="2660.71"/>
    <n v="137.54"/>
    <n v="4.71"/>
    <n v="2588.09"/>
    <n v="1.03"/>
    <n v="21.64"/>
    <n v="2.77"/>
    <n v="1085.57"/>
    <n v="1712.68"/>
    <n v="226"/>
    <n v="0.60266666666666668"/>
  </r>
  <r>
    <x v="13"/>
    <x v="13"/>
    <x v="0"/>
    <n v="320"/>
    <n v="308"/>
    <n v="0.96250000000000002"/>
    <n v="299"/>
    <n v="0.97077922077922074"/>
    <n v="9"/>
    <n v="3.0100334448160536E-2"/>
    <n v="12"/>
    <n v="4.0133779264214048E-2"/>
    <n v="2716.28"/>
    <n v="170.05"/>
    <n v="4.9000000000000004"/>
    <n v="1919.38"/>
    <n v="1.42"/>
    <n v="32.340000000000003"/>
    <n v="1.85"/>
    <n v="1035.43"/>
    <n v="1850.91"/>
    <n v="167"/>
    <n v="0.55852842809364545"/>
  </r>
  <r>
    <x v="14"/>
    <x v="14"/>
    <x v="0"/>
    <n v="311"/>
    <n v="249"/>
    <n v="0.80064308681672025"/>
    <n v="235"/>
    <n v="0.94377510040160639"/>
    <n v="14"/>
    <n v="5.9574468085106386E-2"/>
    <n v="62"/>
    <n v="0.26382978723404255"/>
    <n v="1559.57"/>
    <n v="105.58"/>
    <n v="4.76"/>
    <n v="1209.22"/>
    <n v="1.29"/>
    <n v="35.64"/>
    <n v="1.68"/>
    <n v="605.29999999999995"/>
    <n v="1059.8599999999999"/>
    <n v="145"/>
    <n v="0.61702127659574468"/>
  </r>
  <r>
    <x v="15"/>
    <x v="15"/>
    <x v="0"/>
    <n v="235"/>
    <n v="233"/>
    <n v="0.99148936170212765"/>
    <n v="223"/>
    <n v="0.9570815450643777"/>
    <n v="10"/>
    <n v="4.4843049327354258E-2"/>
    <n v="2"/>
    <n v="8.9686098654708519E-3"/>
    <n v="2321.8200000000002"/>
    <n v="133.80000000000001"/>
    <n v="4.8099999999999996"/>
    <n v="1977.71"/>
    <n v="1.17"/>
    <n v="34.090000000000003"/>
    <n v="1.76"/>
    <n v="919.02"/>
    <n v="1536.61"/>
    <n v="173"/>
    <n v="0.77578475336322872"/>
  </r>
  <r>
    <x v="16"/>
    <x v="16"/>
    <x v="0"/>
    <n v="352"/>
    <n v="311"/>
    <n v="0.88352272727272729"/>
    <n v="297"/>
    <n v="0.954983922829582"/>
    <n v="14"/>
    <n v="4.7138047138047139E-2"/>
    <n v="41"/>
    <n v="0.13804713804713806"/>
    <n v="1308.51"/>
    <n v="121.72"/>
    <n v="4.99"/>
    <n v="1385"/>
    <n v="0.94"/>
    <n v="26.91"/>
    <n v="2.23"/>
    <n v="545.17999999999995"/>
    <n v="885.05"/>
    <n v="178"/>
    <n v="0.59932659932659937"/>
  </r>
  <r>
    <x v="17"/>
    <x v="17"/>
    <x v="0"/>
    <n v="194"/>
    <n v="185"/>
    <n v="0.95360824742268047"/>
    <n v="179"/>
    <n v="0.96756756756756757"/>
    <n v="6"/>
    <n v="3.3519553072625698E-2"/>
    <n v="9"/>
    <n v="5.027932960893855E-2"/>
    <n v="1307.95"/>
    <n v="87.31"/>
    <n v="4.95"/>
    <n v="1162.1199999999999"/>
    <n v="1.1299999999999999"/>
    <n v="38.159999999999997"/>
    <n v="1.57"/>
    <n v="522.54999999999995"/>
    <n v="872.71"/>
    <n v="113"/>
    <n v="0.63128491620111726"/>
  </r>
  <r>
    <x v="0"/>
    <x v="0"/>
    <x v="1"/>
    <n v="349"/>
    <n v="329"/>
    <n v="0.94269340974212035"/>
    <n v="322"/>
    <n v="0.97872340425531912"/>
    <n v="7"/>
    <n v="2.1739130434782608E-2"/>
    <n v="20"/>
    <n v="6.2111801242236024E-2"/>
    <n v="2486.7399999999998"/>
    <n v="83.24"/>
    <n v="4.78"/>
    <n v="1931.62"/>
    <n v="1.29"/>
    <n v="31.86"/>
    <n v="1.89"/>
    <n v="965.5"/>
    <n v="1604.47"/>
    <n v="181"/>
    <n v="0.56211180124223603"/>
  </r>
  <r>
    <x v="1"/>
    <x v="1"/>
    <x v="1"/>
    <n v="324"/>
    <n v="264"/>
    <n v="0.81481481481481477"/>
    <n v="257"/>
    <n v="0.97348484848484851"/>
    <n v="7"/>
    <n v="2.7237354085603113E-2"/>
    <n v="60"/>
    <n v="0.23346303501945526"/>
    <n v="1879.46"/>
    <n v="119.4"/>
    <n v="4.6500000000000004"/>
    <n v="1584.2"/>
    <n v="1.19"/>
    <n v="29.07"/>
    <n v="2.06"/>
    <n v="742.24"/>
    <n v="1256.6199999999999"/>
    <n v="162"/>
    <n v="0.63035019455252916"/>
  </r>
  <r>
    <x v="2"/>
    <x v="2"/>
    <x v="1"/>
    <n v="306"/>
    <n v="285"/>
    <n v="0.93137254901960786"/>
    <n v="282"/>
    <n v="0.98947368421052628"/>
    <n v="3"/>
    <n v="1.0638297872340425E-2"/>
    <n v="21"/>
    <n v="7.4468085106382975E-2"/>
    <n v="1895.55"/>
    <n v="159.44999999999999"/>
    <n v="4.6900000000000004"/>
    <n v="1583.13"/>
    <n v="1.2"/>
    <n v="24.4"/>
    <n v="2.46"/>
    <n v="747.12"/>
    <n v="1307.8699999999999"/>
    <n v="153"/>
    <n v="0.54255319148936165"/>
  </r>
  <r>
    <x v="3"/>
    <x v="3"/>
    <x v="1"/>
    <n v="198"/>
    <n v="185"/>
    <n v="0.93434343434343436"/>
    <n v="178"/>
    <n v="0.96216216216216222"/>
    <n v="7"/>
    <n v="3.9325842696629212E-2"/>
    <n v="13"/>
    <n v="7.3033707865168537E-2"/>
    <n v="639.51"/>
    <n v="65.599999999999994"/>
    <n v="4.63"/>
    <n v="687.69"/>
    <n v="0.93"/>
    <n v="37.92"/>
    <n v="1.58"/>
    <n v="267.52999999999997"/>
    <n v="437.58"/>
    <n v="87"/>
    <n v="0.4887640449438202"/>
  </r>
  <r>
    <x v="4"/>
    <x v="4"/>
    <x v="1"/>
    <n v="220"/>
    <n v="211"/>
    <n v="0.95909090909090911"/>
    <n v="196"/>
    <n v="0.92890995260663511"/>
    <n v="15"/>
    <n v="7.6530612244897961E-2"/>
    <n v="9"/>
    <n v="4.5918367346938778E-2"/>
    <n v="1095.25"/>
    <n v="82.74"/>
    <n v="4.83"/>
    <n v="983.86"/>
    <n v="1.1100000000000001"/>
    <n v="38.82"/>
    <n v="1.55"/>
    <n v="438.65"/>
    <n v="739.34"/>
    <n v="113"/>
    <n v="0.57653061224489799"/>
  </r>
  <r>
    <x v="5"/>
    <x v="5"/>
    <x v="1"/>
    <n v="314"/>
    <n v="286"/>
    <n v="0.91082802547770703"/>
    <n v="278"/>
    <n v="0.97202797202797198"/>
    <n v="8"/>
    <n v="2.8776978417266189E-2"/>
    <n v="28"/>
    <n v="0.10071942446043165"/>
    <n v="2608.54"/>
    <n v="164.62"/>
    <n v="4.82"/>
    <n v="2003.63"/>
    <n v="1.3"/>
    <n v="32.81"/>
    <n v="1.83"/>
    <n v="1010.51"/>
    <n v="1762.65"/>
    <n v="174"/>
    <n v="0.62589928057553956"/>
  </r>
  <r>
    <x v="6"/>
    <x v="6"/>
    <x v="1"/>
    <n v="335"/>
    <n v="315"/>
    <n v="0.94029850746268662"/>
    <n v="293"/>
    <n v="0.93015873015873018"/>
    <n v="22"/>
    <n v="7.5085324232081918E-2"/>
    <n v="20"/>
    <n v="6.8259385665529013E-2"/>
    <n v="2147.8000000000002"/>
    <n v="81.08"/>
    <n v="4.92"/>
    <n v="2074.08"/>
    <n v="1.04"/>
    <n v="30.09"/>
    <n v="1.99"/>
    <n v="874.78"/>
    <n v="1354.1"/>
    <n v="191"/>
    <n v="0.65187713310580209"/>
  </r>
  <r>
    <x v="7"/>
    <x v="7"/>
    <x v="1"/>
    <n v="428"/>
    <n v="371"/>
    <n v="0.86682242990654201"/>
    <n v="360"/>
    <n v="0.9703504043126685"/>
    <n v="11"/>
    <n v="3.0555555555555555E-2"/>
    <n v="57"/>
    <n v="0.15833333333333333"/>
    <n v="2874.3"/>
    <n v="155.66"/>
    <n v="4.7699999999999996"/>
    <n v="2482.41"/>
    <n v="1.1599999999999999"/>
    <n v="27.51"/>
    <n v="2.1800000000000002"/>
    <n v="1141.1400000000001"/>
    <n v="1888.83"/>
    <n v="212"/>
    <n v="0.58888888888888891"/>
  </r>
  <r>
    <x v="8"/>
    <x v="8"/>
    <x v="1"/>
    <n v="161"/>
    <n v="149"/>
    <n v="0.92546583850931674"/>
    <n v="142"/>
    <n v="0.95302013422818788"/>
    <n v="7"/>
    <n v="4.9295774647887321E-2"/>
    <n v="12"/>
    <n v="8.4507042253521125E-2"/>
    <n v="748.01"/>
    <n v="49.79"/>
    <n v="4.99"/>
    <n v="843.78"/>
    <n v="0.89"/>
    <n v="52.92"/>
    <n v="1.1299999999999999"/>
    <n v="316.89"/>
    <n v="480.9"/>
    <n v="62"/>
    <n v="0.43661971830985913"/>
  </r>
  <r>
    <x v="9"/>
    <x v="9"/>
    <x v="1"/>
    <n v="310"/>
    <n v="309"/>
    <n v="0.99677419354838714"/>
    <n v="290"/>
    <n v="0.93851132686084138"/>
    <n v="19"/>
    <n v="6.5517241379310351E-2"/>
    <n v="1"/>
    <n v="3.4482758620689655E-3"/>
    <n v="3014.89"/>
    <n v="251.89"/>
    <n v="4.83"/>
    <n v="2138.46"/>
    <n v="1.41"/>
    <n v="31.94"/>
    <n v="1.88"/>
    <n v="1150.07"/>
    <n v="2116.7199999999998"/>
    <n v="240"/>
    <n v="0.82758620689655171"/>
  </r>
  <r>
    <x v="10"/>
    <x v="10"/>
    <x v="1"/>
    <n v="302"/>
    <n v="277"/>
    <n v="0.91721854304635764"/>
    <n v="261"/>
    <n v="0.9422382671480144"/>
    <n v="16"/>
    <n v="6.1302681992337162E-2"/>
    <n v="25"/>
    <n v="9.5785440613026823E-2"/>
    <n v="1565.43"/>
    <n v="87.96"/>
    <n v="4.92"/>
    <n v="1235.19"/>
    <n v="1.27"/>
    <n v="33.119999999999997"/>
    <n v="1.81"/>
    <n v="609.73"/>
    <n v="1043.6600000000001"/>
    <n v="185"/>
    <n v="0.70881226053639845"/>
  </r>
  <r>
    <x v="11"/>
    <x v="11"/>
    <x v="1"/>
    <n v="269"/>
    <n v="242"/>
    <n v="0.8996282527881041"/>
    <n v="235"/>
    <n v="0.97107438016528924"/>
    <n v="7"/>
    <n v="2.9787234042553193E-2"/>
    <n v="27"/>
    <n v="0.1148936170212766"/>
    <n v="2566.2600000000002"/>
    <n v="118.1"/>
    <n v="4.66"/>
    <n v="2060.21"/>
    <n v="1.25"/>
    <n v="41.99"/>
    <n v="1.43"/>
    <n v="1003.11"/>
    <n v="1681.25"/>
    <n v="147"/>
    <n v="0.62553191489361704"/>
  </r>
  <r>
    <x v="12"/>
    <x v="12"/>
    <x v="1"/>
    <n v="337"/>
    <n v="271"/>
    <n v="0.80415430267062316"/>
    <n v="271"/>
    <n v="1"/>
    <n v="0"/>
    <n v="0"/>
    <n v="66"/>
    <n v="0.24354243542435425"/>
    <n v="2188.38"/>
    <n v="149.41999999999999"/>
    <n v="4.97"/>
    <n v="1885.23"/>
    <n v="1.1599999999999999"/>
    <n v="30.15"/>
    <n v="1.99"/>
    <n v="868.33"/>
    <n v="1469.46"/>
    <n v="101"/>
    <n v="0.37269372693726938"/>
  </r>
  <r>
    <x v="13"/>
    <x v="13"/>
    <x v="1"/>
    <n v="240"/>
    <n v="200"/>
    <n v="0.83333333333333337"/>
    <n v="189"/>
    <n v="0.94499999999999995"/>
    <n v="11"/>
    <n v="5.8201058201058198E-2"/>
    <n v="40"/>
    <n v="0.21164021164021163"/>
    <n v="1356.83"/>
    <n v="110.4"/>
    <n v="4.8099999999999996"/>
    <n v="1066.6400000000001"/>
    <n v="1.27"/>
    <n v="42.03"/>
    <n v="1.43"/>
    <n v="528.08000000000004"/>
    <n v="939.15"/>
    <n v="122"/>
    <n v="0.64550264550264547"/>
  </r>
  <r>
    <x v="14"/>
    <x v="14"/>
    <x v="1"/>
    <n v="342"/>
    <n v="318"/>
    <n v="0.92982456140350878"/>
    <n v="300"/>
    <n v="0.94339622641509435"/>
    <n v="18"/>
    <n v="0.06"/>
    <n v="24"/>
    <n v="0.08"/>
    <n v="1667.07"/>
    <n v="149.41999999999999"/>
    <n v="4.6900000000000004"/>
    <n v="1473.66"/>
    <n v="1.1299999999999999"/>
    <n v="32.29"/>
    <n v="1.86"/>
    <n v="665.26"/>
    <n v="1151.23"/>
    <n v="156"/>
    <n v="0.52"/>
  </r>
  <r>
    <x v="15"/>
    <x v="15"/>
    <x v="1"/>
    <n v="305"/>
    <n v="256"/>
    <n v="0.83934426229508197"/>
    <n v="242"/>
    <n v="0.9453125"/>
    <n v="14"/>
    <n v="5.7851239669421489E-2"/>
    <n v="49"/>
    <n v="0.2024793388429752"/>
    <n v="2659.7"/>
    <n v="148.66999999999999"/>
    <n v="4.54"/>
    <n v="1774.14"/>
    <n v="1.5"/>
    <n v="31.55"/>
    <n v="1.9"/>
    <n v="1003.25"/>
    <n v="1805.12"/>
    <n v="197"/>
    <n v="0.81404958677685946"/>
  </r>
  <r>
    <x v="16"/>
    <x v="16"/>
    <x v="1"/>
    <n v="296"/>
    <n v="291"/>
    <n v="0.98310810810810811"/>
    <n v="289"/>
    <n v="0.99312714776632305"/>
    <n v="2"/>
    <n v="6.920415224913495E-3"/>
    <n v="5"/>
    <n v="1.7301038062283738E-2"/>
    <n v="1865.55"/>
    <n v="131.49"/>
    <n v="4.8099999999999996"/>
    <n v="1534.24"/>
    <n v="1.22"/>
    <n v="26.2"/>
    <n v="2.29"/>
    <n v="732.9"/>
    <n v="1264.1500000000001"/>
    <n v="130"/>
    <n v="0.44982698961937717"/>
  </r>
  <r>
    <x v="17"/>
    <x v="17"/>
    <x v="1"/>
    <n v="202"/>
    <n v="177"/>
    <n v="0.87623762376237624"/>
    <n v="170"/>
    <n v="0.96045197740112997"/>
    <n v="7"/>
    <n v="4.1176470588235294E-2"/>
    <n v="25"/>
    <n v="0.14705882352941177"/>
    <n v="1538.32"/>
    <n v="108.61"/>
    <n v="4.7"/>
    <n v="1298.83"/>
    <n v="1.18"/>
    <n v="34.15"/>
    <n v="1.76"/>
    <n v="607.74"/>
    <n v="1039.19"/>
    <n v="102"/>
    <n v="0.6"/>
  </r>
  <r>
    <x v="18"/>
    <x v="18"/>
    <x v="1"/>
    <n v="300"/>
    <n v="260"/>
    <n v="0.8666666666666667"/>
    <n v="251"/>
    <n v="0.9653846153846154"/>
    <n v="9"/>
    <n v="3.5856573705179286E-2"/>
    <n v="40"/>
    <n v="0.15936254980079681"/>
    <n v="1654.27"/>
    <n v="56.36"/>
    <n v="4.5999999999999996"/>
    <n v="1943.81"/>
    <n v="0.85"/>
    <n v="33.67"/>
    <n v="1.78"/>
    <n v="708.66"/>
    <n v="1001.97"/>
    <n v="85"/>
    <n v="0.3386454183266932"/>
  </r>
  <r>
    <x v="19"/>
    <x v="19"/>
    <x v="1"/>
    <n v="274"/>
    <n v="251"/>
    <n v="0.91605839416058399"/>
    <n v="235"/>
    <n v="0.93625498007968122"/>
    <n v="16"/>
    <n v="6.8085106382978725E-2"/>
    <n v="23"/>
    <n v="9.7872340425531917E-2"/>
    <n v="2033.79"/>
    <n v="125.77"/>
    <n v="4.68"/>
    <n v="1503.13"/>
    <n v="1.35"/>
    <n v="33.06"/>
    <n v="1.81"/>
    <n v="781.92"/>
    <n v="1377.65"/>
    <n v="129"/>
    <n v="0.54893617021276597"/>
  </r>
  <r>
    <x v="20"/>
    <x v="20"/>
    <x v="1"/>
    <n v="211"/>
    <n v="175"/>
    <n v="0.82938388625592419"/>
    <n v="173"/>
    <n v="0.98857142857142855"/>
    <n v="2"/>
    <n v="1.1560693641618497E-2"/>
    <n v="36"/>
    <n v="0.20809248554913296"/>
    <n v="1218.98"/>
    <n v="84.71"/>
    <n v="4.76"/>
    <n v="1226.44"/>
    <n v="0.99"/>
    <n v="33.5"/>
    <n v="1.79"/>
    <n v="501.45"/>
    <n v="802.24"/>
    <n v="69"/>
    <n v="0.39884393063583817"/>
  </r>
  <r>
    <x v="0"/>
    <x v="0"/>
    <x v="2"/>
    <n v="294"/>
    <n v="289"/>
    <n v="0.98299319727891155"/>
    <n v="276"/>
    <n v="0.95501730103806226"/>
    <n v="13"/>
    <n v="4.710144927536232E-2"/>
    <n v="5"/>
    <n v="1.8115942028985508E-2"/>
    <n v="2057.58"/>
    <n v="138.35"/>
    <n v="4.9400000000000004"/>
    <n v="1715.65"/>
    <n v="1.2"/>
    <n v="34.44"/>
    <n v="1.74"/>
    <n v="810.7"/>
    <n v="1385.23"/>
    <n v="160"/>
    <n v="0.57971014492753625"/>
  </r>
  <r>
    <x v="1"/>
    <x v="1"/>
    <x v="2"/>
    <n v="246"/>
    <n v="205"/>
    <n v="0.83333333333333337"/>
    <n v="198"/>
    <n v="0.96585365853658534"/>
    <n v="7"/>
    <n v="3.5353535353535352E-2"/>
    <n v="41"/>
    <n v="0.20707070707070707"/>
    <n v="2006.13"/>
    <n v="203.7"/>
    <n v="4.79"/>
    <n v="1390.59"/>
    <n v="1.44"/>
    <n v="33.340000000000003"/>
    <n v="1.8"/>
    <n v="762"/>
    <n v="1447.83"/>
    <n v="127"/>
    <n v="0.64141414141414144"/>
  </r>
  <r>
    <x v="2"/>
    <x v="2"/>
    <x v="2"/>
    <n v="376"/>
    <n v="335"/>
    <n v="0.89095744680851063"/>
    <n v="327"/>
    <n v="0.9761194029850746"/>
    <n v="8"/>
    <n v="2.4464831804281346E-2"/>
    <n v="41"/>
    <n v="0.12538226299694188"/>
    <n v="1129.21"/>
    <n v="42.52"/>
    <n v="4.72"/>
    <n v="1345.82"/>
    <n v="0.84"/>
    <n v="29.96"/>
    <n v="2"/>
    <n v="485.65"/>
    <n v="686.08"/>
    <n v="191"/>
    <n v="0.58409785932721714"/>
  </r>
  <r>
    <x v="3"/>
    <x v="3"/>
    <x v="2"/>
    <n v="287"/>
    <n v="251"/>
    <n v="0.87456445993031362"/>
    <n v="243"/>
    <n v="0.96812749003984067"/>
    <n v="8"/>
    <n v="3.292181069958848E-2"/>
    <n v="36"/>
    <n v="0.14814814814814814"/>
    <n v="2047.08"/>
    <n v="108.94"/>
    <n v="4.91"/>
    <n v="1647.05"/>
    <n v="1.24"/>
    <n v="37.19"/>
    <n v="1.61"/>
    <n v="800.54"/>
    <n v="1355.48"/>
    <n v="117"/>
    <n v="0.48148148148148145"/>
  </r>
  <r>
    <x v="4"/>
    <x v="4"/>
    <x v="2"/>
    <n v="277"/>
    <n v="230"/>
    <n v="0.83032490974729245"/>
    <n v="219"/>
    <n v="0.95217391304347831"/>
    <n v="11"/>
    <n v="5.0228310502283102E-2"/>
    <n v="47"/>
    <n v="0.21461187214611871"/>
    <n v="1579.66"/>
    <n v="70.150000000000006"/>
    <n v="4.83"/>
    <n v="1404.85"/>
    <n v="1.1200000000000001"/>
    <n v="30.54"/>
    <n v="1.97"/>
    <n v="631.23"/>
    <n v="1018.58"/>
    <n v="113"/>
    <n v="0.51598173515981738"/>
  </r>
  <r>
    <x v="5"/>
    <x v="5"/>
    <x v="2"/>
    <n v="308"/>
    <n v="282"/>
    <n v="0.91558441558441561"/>
    <n v="273"/>
    <n v="0.96808510638297873"/>
    <n v="9"/>
    <n v="3.2967032967032968E-2"/>
    <n v="26"/>
    <n v="9.5238095238095233E-2"/>
    <n v="1888.53"/>
    <n v="100.64"/>
    <n v="4.54"/>
    <n v="2157.61"/>
    <n v="0.88"/>
    <n v="29.8"/>
    <n v="2.0099999999999998"/>
    <n v="802.82"/>
    <n v="1186.3399999999999"/>
    <n v="120"/>
    <n v="0.43956043956043955"/>
  </r>
  <r>
    <x v="6"/>
    <x v="6"/>
    <x v="2"/>
    <n v="254"/>
    <n v="253"/>
    <n v="0.99606299212598426"/>
    <n v="246"/>
    <n v="0.97233201581027673"/>
    <n v="7"/>
    <n v="2.8455284552845527E-2"/>
    <n v="1"/>
    <n v="4.0650406504065045E-3"/>
    <n v="3028.52"/>
    <n v="147.82"/>
    <n v="4.84"/>
    <n v="2492.13"/>
    <n v="1.22"/>
    <n v="35.68"/>
    <n v="1.68"/>
    <n v="1189.92"/>
    <n v="1986.42"/>
    <n v="106"/>
    <n v="0.43089430894308944"/>
  </r>
  <r>
    <x v="7"/>
    <x v="7"/>
    <x v="2"/>
    <n v="306"/>
    <n v="265"/>
    <n v="0.86601307189542487"/>
    <n v="252"/>
    <n v="0.95094339622641511"/>
    <n v="13"/>
    <n v="5.1587301587301584E-2"/>
    <n v="41"/>
    <n v="0.1626984126984127"/>
    <n v="1770.02"/>
    <n v="163.87"/>
    <n v="4.66"/>
    <n v="1377.8"/>
    <n v="1.28"/>
    <n v="31.98"/>
    <n v="1.87"/>
    <n v="687.52"/>
    <n v="1246.3599999999999"/>
    <n v="129"/>
    <n v="0.51190476190476186"/>
  </r>
  <r>
    <x v="8"/>
    <x v="8"/>
    <x v="2"/>
    <n v="412"/>
    <n v="385"/>
    <n v="0.93446601941747576"/>
    <n v="369"/>
    <n v="0.95844155844155843"/>
    <n v="16"/>
    <n v="4.3360433604336043E-2"/>
    <n v="27"/>
    <n v="7.3170731707317069E-2"/>
    <n v="3519.14"/>
    <n v="185.69"/>
    <n v="4.67"/>
    <n v="2541.4299999999998"/>
    <n v="1.38"/>
    <n v="25.86"/>
    <n v="2.3199999999999998"/>
    <n v="1346.98"/>
    <n v="2357.84"/>
    <n v="209"/>
    <n v="0.56639566395663954"/>
  </r>
  <r>
    <x v="9"/>
    <x v="9"/>
    <x v="2"/>
    <n v="377"/>
    <n v="340"/>
    <n v="0.90185676392572944"/>
    <n v="340"/>
    <n v="1"/>
    <n v="0"/>
    <n v="0"/>
    <n v="37"/>
    <n v="0.10882352941176471"/>
    <n v="1622.59"/>
    <n v="70.540000000000006"/>
    <n v="4.8099999999999996"/>
    <n v="1808.85"/>
    <n v="0.9"/>
    <n v="28.7"/>
    <n v="2.09"/>
    <n v="685.25"/>
    <n v="1007.89"/>
    <n v="203"/>
    <n v="0.59705882352941175"/>
  </r>
  <r>
    <x v="10"/>
    <x v="10"/>
    <x v="2"/>
    <n v="305"/>
    <n v="300"/>
    <n v="0.98360655737704916"/>
    <n v="285"/>
    <n v="0.95"/>
    <n v="15"/>
    <n v="5.2631578947368418E-2"/>
    <n v="5"/>
    <n v="1.7543859649122806E-2"/>
    <n v="2488.06"/>
    <n v="164.03"/>
    <n v="5"/>
    <n v="2017.1"/>
    <n v="1.23"/>
    <n v="30.62"/>
    <n v="1.96"/>
    <n v="974.52"/>
    <n v="1677.57"/>
    <n v="174"/>
    <n v="0.61052631578947369"/>
  </r>
  <r>
    <x v="11"/>
    <x v="11"/>
    <x v="2"/>
    <n v="253"/>
    <n v="249"/>
    <n v="0.98418972332015808"/>
    <n v="240"/>
    <n v="0.96385542168674698"/>
    <n v="9"/>
    <n v="3.7499999999999999E-2"/>
    <n v="4"/>
    <n v="1.6666666666666666E-2"/>
    <n v="1945.29"/>
    <n v="86.93"/>
    <n v="4.8899999999999997"/>
    <n v="1680.35"/>
    <n v="1.1599999999999999"/>
    <n v="37.79"/>
    <n v="1.59"/>
    <n v="772.33"/>
    <n v="1259.8900000000001"/>
    <n v="170"/>
    <n v="0.70833333333333337"/>
  </r>
  <r>
    <x v="12"/>
    <x v="12"/>
    <x v="2"/>
    <n v="367"/>
    <n v="327"/>
    <n v="0.89100817438692093"/>
    <n v="315"/>
    <n v="0.96330275229357798"/>
    <n v="12"/>
    <n v="3.8095238095238099E-2"/>
    <n v="40"/>
    <n v="0.12698412698412698"/>
    <n v="2203.98"/>
    <n v="140.61000000000001"/>
    <n v="4.6100000000000003"/>
    <n v="2171.31"/>
    <n v="1.02"/>
    <n v="29.02"/>
    <n v="2.06"/>
    <n v="901.99"/>
    <n v="1442.59"/>
    <n v="246"/>
    <n v="0.78095238095238095"/>
  </r>
  <r>
    <x v="13"/>
    <x v="13"/>
    <x v="2"/>
    <n v="352"/>
    <n v="340"/>
    <n v="0.96590909090909094"/>
    <n v="328"/>
    <n v="0.96470588235294119"/>
    <n v="12"/>
    <n v="3.6585365853658534E-2"/>
    <n v="12"/>
    <n v="3.6585365853658534E-2"/>
    <n v="2090.92"/>
    <n v="208.98"/>
    <n v="4.6399999999999997"/>
    <n v="1663.21"/>
    <n v="1.26"/>
    <n v="29.83"/>
    <n v="2.0099999999999998"/>
    <n v="815.75"/>
    <n v="1484.15"/>
    <n v="177"/>
    <n v="0.53963414634146345"/>
  </r>
  <r>
    <x v="14"/>
    <x v="14"/>
    <x v="2"/>
    <n v="238"/>
    <n v="204"/>
    <n v="0.8571428571428571"/>
    <n v="203"/>
    <n v="0.99509803921568629"/>
    <n v="1"/>
    <n v="4.9261083743842365E-3"/>
    <n v="34"/>
    <n v="0.16748768472906403"/>
    <n v="1009.77"/>
    <n v="50.07"/>
    <n v="4.88"/>
    <n v="929.41"/>
    <n v="1.0900000000000001"/>
    <n v="39.07"/>
    <n v="1.53"/>
    <n v="406.67"/>
    <n v="653.17999999999995"/>
    <n v="132"/>
    <n v="0.65024630541871919"/>
  </r>
  <r>
    <x v="15"/>
    <x v="15"/>
    <x v="2"/>
    <n v="240"/>
    <n v="196"/>
    <n v="0.81666666666666665"/>
    <n v="191"/>
    <n v="0.97448979591836737"/>
    <n v="5"/>
    <n v="2.6178010471204188E-2"/>
    <n v="44"/>
    <n v="0.23036649214659685"/>
    <n v="1765.83"/>
    <n v="121.78"/>
    <n v="4.58"/>
    <n v="1396.53"/>
    <n v="1.26"/>
    <n v="34.840000000000003"/>
    <n v="1.73"/>
    <n v="688.11"/>
    <n v="1199.5"/>
    <n v="131"/>
    <n v="0.68586387434554974"/>
  </r>
  <r>
    <x v="16"/>
    <x v="16"/>
    <x v="2"/>
    <n v="195"/>
    <n v="166"/>
    <n v="0.85128205128205126"/>
    <n v="164"/>
    <n v="0.98795180722891562"/>
    <n v="2"/>
    <n v="1.2195121951219513E-2"/>
    <n v="29"/>
    <n v="0.17682926829268292"/>
    <n v="1472.84"/>
    <n v="70.28"/>
    <n v="4.95"/>
    <n v="1241.5999999999999"/>
    <n v="1.19"/>
    <n v="40.700000000000003"/>
    <n v="1.47"/>
    <n v="581.66999999999996"/>
    <n v="961.46"/>
    <n v="93"/>
    <n v="0.56707317073170727"/>
  </r>
  <r>
    <x v="17"/>
    <x v="17"/>
    <x v="2"/>
    <n v="281"/>
    <n v="243"/>
    <n v="0.86476868327402134"/>
    <n v="236"/>
    <n v="0.9711934156378601"/>
    <n v="7"/>
    <n v="2.9661016949152543E-2"/>
    <n v="38"/>
    <n v="0.16101694915254236"/>
    <n v="2004.1"/>
    <n v="23.54"/>
    <n v="4.97"/>
    <n v="2016.38"/>
    <n v="0.99"/>
    <n v="35.07"/>
    <n v="1.71"/>
    <n v="824.42"/>
    <n v="1203.22"/>
    <n v="219"/>
    <n v="0.92796610169491522"/>
  </r>
  <r>
    <x v="18"/>
    <x v="18"/>
    <x v="2"/>
    <n v="332"/>
    <n v="299"/>
    <n v="0.9006024096385542"/>
    <n v="294"/>
    <n v="0.98327759197324416"/>
    <n v="5"/>
    <n v="1.7006802721088437E-2"/>
    <n v="33"/>
    <n v="0.11224489795918367"/>
    <n v="2662.03"/>
    <n v="80.16"/>
    <n v="4.8600000000000003"/>
    <n v="2166.59"/>
    <n v="1.23"/>
    <n v="33.17"/>
    <n v="1.81"/>
    <n v="1043.51"/>
    <n v="1698.68"/>
    <n v="255"/>
    <n v="0.86734693877551017"/>
  </r>
  <r>
    <x v="19"/>
    <x v="19"/>
    <x v="2"/>
    <n v="343"/>
    <n v="298"/>
    <n v="0.86880466472303208"/>
    <n v="286"/>
    <n v="0.95973154362416102"/>
    <n v="12"/>
    <n v="4.195804195804196E-2"/>
    <n v="45"/>
    <n v="0.15734265734265734"/>
    <n v="2414.0500000000002"/>
    <n v="136.43"/>
    <n v="4.9800000000000004"/>
    <n v="1691.49"/>
    <n v="1.43"/>
    <n v="32.28"/>
    <n v="1.86"/>
    <n v="918.77"/>
    <n v="1631.71"/>
    <n v="139"/>
    <n v="0.48601398601398599"/>
  </r>
  <r>
    <x v="20"/>
    <x v="20"/>
    <x v="2"/>
    <n v="232"/>
    <n v="206"/>
    <n v="0.88793103448275867"/>
    <n v="199"/>
    <n v="0.96601941747572817"/>
    <n v="7"/>
    <n v="3.5175879396984924E-2"/>
    <n v="26"/>
    <n v="0.1306532663316583"/>
    <n v="904.64"/>
    <n v="37.950000000000003"/>
    <n v="4.74"/>
    <n v="788.45"/>
    <n v="1.1499999999999999"/>
    <n v="36.549999999999997"/>
    <n v="1.64"/>
    <n v="359.87"/>
    <n v="582.72"/>
    <n v="121"/>
    <n v="0.608040201005025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428D7-6779-4A9F-9CCD-97E8ED573178}" name="TablaDiná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35:M39" firstHeaderRow="1" firstDataRow="1" firstDataCol="1"/>
  <pivotFields count="17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0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onductor_ID" fld="0" subtotal="count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D8537-57F9-47F1-8B9D-0BA378FFD65C}" name="TablaDinámica1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56:S78" firstHeaderRow="0" firstDataRow="1" firstDataCol="1" rowPageCount="1" colPageCount="1"/>
  <pivotFields count="23">
    <pivotField axis="axisRow" showAll="0" sortType="descending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22">
        <item x="1"/>
        <item x="10"/>
        <item x="15"/>
        <item x="2"/>
        <item x="12"/>
        <item x="8"/>
        <item x="17"/>
        <item x="19"/>
        <item x="6"/>
        <item x="0"/>
        <item x="9"/>
        <item x="5"/>
        <item x="3"/>
        <item x="14"/>
        <item x="11"/>
        <item x="4"/>
        <item x="18"/>
        <item x="16"/>
        <item x="7"/>
        <item x="20"/>
        <item x="13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numFmtId="10" showAll="0"/>
    <pivotField showAll="0"/>
    <pivotField numFmtId="10" showAll="0"/>
    <pivotField showAll="0"/>
    <pivotField numFmtId="10" showAll="0"/>
    <pivotField showAll="0"/>
    <pivotField numFmtId="10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</pivotFields>
  <rowFields count="1">
    <field x="0"/>
  </rowFields>
  <rowItems count="22">
    <i>
      <x v="8"/>
    </i>
    <i>
      <x v="6"/>
    </i>
    <i>
      <x v="18"/>
    </i>
    <i>
      <x v="10"/>
    </i>
    <i>
      <x v="19"/>
    </i>
    <i>
      <x v="13"/>
    </i>
    <i>
      <x v="1"/>
    </i>
    <i>
      <x v="12"/>
    </i>
    <i>
      <x/>
    </i>
    <i>
      <x v="3"/>
    </i>
    <i>
      <x v="11"/>
    </i>
    <i>
      <x v="7"/>
    </i>
    <i>
      <x v="17"/>
    </i>
    <i>
      <x v="15"/>
    </i>
    <i>
      <x v="5"/>
    </i>
    <i>
      <x v="4"/>
    </i>
    <i>
      <x v="9"/>
    </i>
    <i>
      <x v="16"/>
    </i>
    <i>
      <x v="2"/>
    </i>
    <i>
      <x v="14"/>
    </i>
    <i>
      <x v="20"/>
    </i>
    <i t="grand">
      <x/>
    </i>
  </rowItems>
  <colFields count="1">
    <field x="-2"/>
  </colFields>
  <colItems count="2">
    <i>
      <x/>
    </i>
    <i i="1">
      <x v="1"/>
    </i>
  </colItems>
  <pageFields count="1">
    <pageField fld="2" item="2" hier="-1"/>
  </pageFields>
  <dataFields count="2">
    <dataField name="Suma de Facturacion" fld="12" baseField="0" baseItem="0" numFmtId="42"/>
    <dataField name="Suma de Ganancia_Neta_€" fld="20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47071-568C-4424-800F-8F91C634E095}" name="TablaDinámica1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56:M78" firstHeaderRow="0" firstDataRow="1" firstDataCol="1" rowPageCount="1" colPageCount="1"/>
  <pivotFields count="23">
    <pivotField axis="axisRow" showAll="0" sortType="descending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22">
        <item x="1"/>
        <item x="10"/>
        <item x="15"/>
        <item x="2"/>
        <item x="12"/>
        <item x="8"/>
        <item x="17"/>
        <item x="19"/>
        <item x="6"/>
        <item x="0"/>
        <item x="9"/>
        <item x="5"/>
        <item x="3"/>
        <item x="14"/>
        <item x="11"/>
        <item x="4"/>
        <item x="18"/>
        <item x="16"/>
        <item x="7"/>
        <item x="20"/>
        <item x="13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numFmtId="10" showAll="0"/>
    <pivotField showAll="0"/>
    <pivotField numFmtId="10" showAll="0"/>
    <pivotField showAll="0"/>
    <pivotField numFmtId="10" showAll="0"/>
    <pivotField showAll="0"/>
    <pivotField numFmtId="10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</pivotFields>
  <rowFields count="1">
    <field x="0"/>
  </rowFields>
  <rowItems count="22">
    <i>
      <x v="9"/>
    </i>
    <i>
      <x v="7"/>
    </i>
    <i>
      <x v="15"/>
    </i>
    <i>
      <x v="5"/>
    </i>
    <i>
      <x v="11"/>
    </i>
    <i>
      <x/>
    </i>
    <i>
      <x v="12"/>
    </i>
    <i>
      <x v="19"/>
    </i>
    <i>
      <x v="6"/>
    </i>
    <i>
      <x v="2"/>
    </i>
    <i>
      <x v="16"/>
    </i>
    <i>
      <x v="1"/>
    </i>
    <i>
      <x v="14"/>
    </i>
    <i>
      <x v="10"/>
    </i>
    <i>
      <x v="17"/>
    </i>
    <i>
      <x v="18"/>
    </i>
    <i>
      <x v="13"/>
    </i>
    <i>
      <x v="20"/>
    </i>
    <i>
      <x v="4"/>
    </i>
    <i>
      <x v="8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2" item="1" hier="-1"/>
  </pageFields>
  <dataFields count="2">
    <dataField name="Suma de Facturacion" fld="12" baseField="0" baseItem="0" numFmtId="42"/>
    <dataField name="Suma de Ganancia_Neta_€" fld="20" baseField="0" baseItem="0"/>
  </dataFields>
  <formats count="4">
    <format dxfId="8">
      <pivotArea outline="0" collapsedLevelsAreSubtotals="1" fieldPosition="0"/>
    </format>
    <format dxfId="6">
      <pivotArea outline="0" collapsedLevelsAreSubtotals="1" fieldPosition="0"/>
    </format>
    <format dxfId="5">
      <pivotArea dataOnly="0" labelOnly="1" outline="0" fieldPosition="0">
        <references count="1">
          <reference field="2" count="1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310B9-2623-4AFC-A4CA-4B119DE6D6E8}" name="TablaDinámica1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56:G75" firstHeaderRow="0" firstDataRow="1" firstDataCol="1" rowPageCount="1" colPageCount="1"/>
  <pivotFields count="23">
    <pivotField axis="axisRow" showAll="0" sortType="descending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22">
        <item x="1"/>
        <item x="10"/>
        <item x="15"/>
        <item x="2"/>
        <item x="12"/>
        <item x="8"/>
        <item x="17"/>
        <item x="19"/>
        <item x="6"/>
        <item x="0"/>
        <item x="9"/>
        <item x="5"/>
        <item x="3"/>
        <item x="14"/>
        <item x="11"/>
        <item x="4"/>
        <item x="18"/>
        <item x="16"/>
        <item x="7"/>
        <item x="20"/>
        <item x="13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numFmtId="10" showAll="0"/>
    <pivotField showAll="0"/>
    <pivotField numFmtId="10" showAll="0"/>
    <pivotField showAll="0"/>
    <pivotField numFmtId="10" showAll="0"/>
    <pivotField showAll="0"/>
    <pivotField numFmtId="10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</pivotFields>
  <rowFields count="1">
    <field x="0"/>
  </rowFields>
  <rowItems count="19">
    <i>
      <x v="1"/>
    </i>
    <i>
      <x v="13"/>
    </i>
    <i>
      <x v="12"/>
    </i>
    <i>
      <x v="11"/>
    </i>
    <i>
      <x v="15"/>
    </i>
    <i>
      <x v="6"/>
    </i>
    <i>
      <x v="10"/>
    </i>
    <i>
      <x v="3"/>
    </i>
    <i>
      <x/>
    </i>
    <i>
      <x v="2"/>
    </i>
    <i>
      <x v="7"/>
    </i>
    <i>
      <x v="4"/>
    </i>
    <i>
      <x v="9"/>
    </i>
    <i>
      <x v="14"/>
    </i>
    <i>
      <x v="5"/>
    </i>
    <i>
      <x v="16"/>
    </i>
    <i>
      <x v="8"/>
    </i>
    <i>
      <x v="17"/>
    </i>
    <i t="grand">
      <x/>
    </i>
  </rowItems>
  <colFields count="1">
    <field x="-2"/>
  </colFields>
  <colItems count="2">
    <i>
      <x/>
    </i>
    <i i="1">
      <x v="1"/>
    </i>
  </colItems>
  <pageFields count="1">
    <pageField fld="2" item="0" hier="-1"/>
  </pageFields>
  <dataFields count="2">
    <dataField name="Suma de Facturacion" fld="12" baseField="0" baseItem="0" numFmtId="42"/>
    <dataField name="Suma de Ganancia_Neta_€" fld="20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6A1C2-5751-422D-AB97-8CD1F286A0A4}" name="TablaDinámica10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48:G52" firstHeaderRow="0" firstDataRow="1" firstDataCol="1"/>
  <pivotFields count="23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numFmtId="10" showAll="0"/>
    <pivotField showAll="0"/>
    <pivotField numFmtId="10" showAll="0"/>
    <pivotField showAll="0"/>
    <pivotField numFmtId="10" showAll="0"/>
    <pivotField dataField="1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otal_Clientes_Aceptados" fld="4" baseField="0" baseItem="0"/>
    <dataField name="Suma de Cancelados por el Conductor" fld="10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D839E-4642-4CE9-964F-EB1B55C1DE70}" name="TablaDinámica9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42:G46" firstHeaderRow="0" firstDataRow="1" firstDataCol="1"/>
  <pivotFields count="23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numFmtId="10" showAll="0"/>
    <pivotField showAll="0"/>
    <pivotField numFmtId="10" showAll="0"/>
    <pivotField dataField="1" showAll="0"/>
    <pivotField numFmtId="10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otal_Clientes_Aceptados" fld="4" baseField="0" baseItem="0"/>
    <dataField name="Suma de Cancelados Por el Cliente" fld="8" baseField="0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86E03-6500-4529-BAEA-99068F125B70}" name="TablaDinámica7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5:G39" firstHeaderRow="0" firstDataRow="1" firstDataCol="1"/>
  <pivotFields count="23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numFmtId="10" showAll="0"/>
    <pivotField showAll="0"/>
    <pivotField numFmtId="10" showAll="0"/>
    <pivotField showAll="0"/>
    <pivotField numFmtId="10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otal_Clientes_Ofrecidos" fld="3" baseField="0" baseItem="0"/>
    <dataField name="Suma de Total_Clientes_Aceptados" fld="4" baseField="0" baseItem="0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7066D-7F99-4332-A9D9-646442E72E1B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:B17" firstHeaderRow="0" firstDataRow="1" firstDataCol="0"/>
  <pivotFields count="17">
    <pivotField showAll="0"/>
    <pivotField showAll="0"/>
    <pivotField showAll="0"/>
    <pivotField showAll="0"/>
    <pivotField dataField="1" showAll="0"/>
    <pivotField numFmtId="10" showAll="0"/>
    <pivotField dataField="1" showAll="0"/>
    <pivotField numFmtId="10"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a de Horas_en_Linea" fld="4" baseField="0" baseItem="0"/>
    <dataField name="Suma de Horas_Muerta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5B621-23BE-4580-A934-6A0C509D5BC8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2:B13" firstHeaderRow="0" firstDataRow="1" firstDataCol="0"/>
  <pivotFields count="17">
    <pivotField showAll="0"/>
    <pivotField showAll="0"/>
    <pivotField showAll="0"/>
    <pivotField showAll="0"/>
    <pivotField showAll="0"/>
    <pivotField numFmtId="10" showAll="0"/>
    <pivotField showAll="0"/>
    <pivotField numFmtId="10" showAll="0"/>
    <pivotField showAll="0"/>
    <pivotField showAll="0"/>
    <pivotField showAll="0"/>
    <pivotField dataField="1" showAll="0"/>
    <pivotField dataField="1" showAll="0"/>
    <pivotField showAll="0"/>
    <pivotField numFmtId="10"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a de Dias_Laborales" fld="11" baseField="0" baseItem="0"/>
    <dataField name="Suma de Dias_Asistido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FC469-7545-4D1A-899F-86980342BEE0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:B9" firstHeaderRow="0" firstDataRow="1" firstDataCol="0"/>
  <pivotFields count="17">
    <pivotField showAll="0"/>
    <pivotField showAll="0"/>
    <pivotField showAll="0"/>
    <pivotField showAll="0"/>
    <pivotField showAll="0"/>
    <pivotField numFmtId="10" showAll="0"/>
    <pivotField showAll="0"/>
    <pivotField numFmtId="10" showAll="0"/>
    <pivotField showAll="0"/>
    <pivotField showAll="0"/>
    <pivotField showAll="0"/>
    <pivotField dataField="1" showAll="0"/>
    <pivotField dataField="1" showAll="0"/>
    <pivotField showAll="0"/>
    <pivotField numFmtId="10"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a de Dias_Laborales" fld="11" baseField="0" baseItem="0"/>
    <dataField name="Suma de Dias_Asistido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86772-F6F4-4FEB-9569-4FD7B2D7D06D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" firstHeaderRow="0" firstDataRow="1" firstDataCol="0"/>
  <pivotFields count="17">
    <pivotField showAll="0"/>
    <pivotField showAll="0"/>
    <pivotField showAll="0"/>
    <pivotField dataField="1" showAll="0"/>
    <pivotField dataField="1" showAll="0"/>
    <pivotField numFmtId="10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a de Horas de Conexión" fld="3" baseField="0" baseItem="0"/>
    <dataField name="Suma de Horas_en_Line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20B48-7958-416F-BB27-F705D65EC806}" name="TablaDinámica6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8:G32" firstHeaderRow="0" firstDataRow="1" firstDataCol="1"/>
  <pivotFields count="23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0" showAll="0"/>
    <pivotField showAll="0"/>
    <pivotField numFmtId="10" showAll="0"/>
    <pivotField showAll="0"/>
    <pivotField numFmtId="10" showAll="0"/>
    <pivotField showAll="0"/>
    <pivotField numFmtId="10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Facturacion" fld="12" baseField="0" baseItem="0" numFmtId="42"/>
    <dataField name="Suma de Ganancia_Neta_€" fld="20" baseField="0" baseItem="0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87479-D268-4CE6-95B7-0E23130FB784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1:B25" firstHeaderRow="1" firstDataRow="1" firstDataCol="1"/>
  <pivotFields count="17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0" showAll="0"/>
    <pivotField showAll="0"/>
    <pivotField numFmtId="10" showAll="0"/>
    <pivotField dataField="1" showAll="0"/>
    <pivotField showAll="0"/>
    <pivotField showAll="0"/>
    <pivotField showAll="0"/>
    <pivotField showAll="0"/>
    <pivotField showAll="0"/>
    <pivotField numFmtId="10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Facturacion" fld="8" baseField="0" baseItem="0" numFmtId="42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27D2-DF30-47E8-A0FF-88363A55F573}">
  <dimension ref="A1:W61"/>
  <sheetViews>
    <sheetView tabSelected="1" workbookViewId="0"/>
  </sheetViews>
  <sheetFormatPr baseColWidth="10" defaultRowHeight="14.4" x14ac:dyDescent="0.3"/>
  <cols>
    <col min="1" max="1" width="12.21875" bestFit="1" customWidth="1"/>
    <col min="2" max="2" width="13.6640625" bestFit="1" customWidth="1"/>
    <col min="3" max="3" width="7.33203125" bestFit="1" customWidth="1"/>
    <col min="4" max="4" width="21.88671875" bestFit="1" customWidth="1"/>
    <col min="5" max="5" width="22.6640625" bestFit="1" customWidth="1"/>
    <col min="6" max="6" width="23" bestFit="1" customWidth="1"/>
    <col min="7" max="7" width="18.21875" bestFit="1" customWidth="1"/>
    <col min="8" max="8" width="23.77734375" bestFit="1" customWidth="1"/>
    <col min="9" max="9" width="22.33203125" bestFit="1" customWidth="1"/>
    <col min="10" max="10" width="36.21875" bestFit="1" customWidth="1"/>
    <col min="11" max="11" width="25" bestFit="1" customWidth="1"/>
    <col min="12" max="12" width="39" bestFit="1" customWidth="1"/>
    <col min="13" max="13" width="10.88671875" bestFit="1" customWidth="1"/>
    <col min="14" max="14" width="8.33203125" bestFit="1" customWidth="1"/>
    <col min="15" max="15" width="20" bestFit="1" customWidth="1"/>
    <col min="16" max="16" width="12.21875" bestFit="1" customWidth="1"/>
    <col min="17" max="17" width="11.44140625" bestFit="1" customWidth="1"/>
    <col min="18" max="18" width="28.109375" bestFit="1" customWidth="1"/>
    <col min="19" max="19" width="14.44140625" bestFit="1" customWidth="1"/>
    <col min="20" max="20" width="8.44140625" bestFit="1" customWidth="1"/>
    <col min="21" max="21" width="15.44140625" bestFit="1" customWidth="1"/>
    <col min="22" max="22" width="27.5546875" bestFit="1" customWidth="1"/>
    <col min="23" max="23" width="20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17</v>
      </c>
      <c r="N1" s="2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2" t="s">
        <v>27</v>
      </c>
    </row>
    <row r="2" spans="1:23" x14ac:dyDescent="0.3">
      <c r="A2" t="s">
        <v>34</v>
      </c>
      <c r="B2" t="s">
        <v>35</v>
      </c>
      <c r="C2" t="s">
        <v>36</v>
      </c>
      <c r="D2">
        <v>251</v>
      </c>
      <c r="E2">
        <f t="shared" ref="E2:E61" si="0">+G2+I2</f>
        <v>231</v>
      </c>
      <c r="F2" s="3">
        <f>+E2/D2</f>
        <v>0.92031872509960155</v>
      </c>
      <c r="G2">
        <v>218</v>
      </c>
      <c r="H2" s="3">
        <f>+G2/E2</f>
        <v>0.94372294372294374</v>
      </c>
      <c r="I2">
        <v>13</v>
      </c>
      <c r="J2" s="3">
        <f>+I2/G2</f>
        <v>5.9633027522935783E-2</v>
      </c>
      <c r="K2">
        <f>+D2-E2</f>
        <v>20</v>
      </c>
      <c r="L2" s="3">
        <f>+K2/G2</f>
        <v>9.1743119266055051E-2</v>
      </c>
      <c r="M2">
        <v>1938.59</v>
      </c>
      <c r="N2">
        <v>160.02000000000001</v>
      </c>
      <c r="O2">
        <v>4.84</v>
      </c>
      <c r="P2">
        <v>1671.34</v>
      </c>
      <c r="Q2">
        <v>1.1599999999999999</v>
      </c>
      <c r="R2">
        <v>33.29</v>
      </c>
      <c r="S2">
        <v>1.81</v>
      </c>
      <c r="T2">
        <v>769.35</v>
      </c>
      <c r="U2">
        <v>1329.26</v>
      </c>
      <c r="V2">
        <v>113</v>
      </c>
      <c r="W2" s="3">
        <f t="shared" ref="W2:W33" si="1">+V2/G2</f>
        <v>0.51834862385321101</v>
      </c>
    </row>
    <row r="3" spans="1:23" x14ac:dyDescent="0.3">
      <c r="A3" t="s">
        <v>38</v>
      </c>
      <c r="B3" t="s">
        <v>39</v>
      </c>
      <c r="C3" t="s">
        <v>36</v>
      </c>
      <c r="D3">
        <v>384</v>
      </c>
      <c r="E3">
        <f t="shared" si="0"/>
        <v>344</v>
      </c>
      <c r="F3" s="3">
        <f t="shared" ref="F3:F61" si="2">+E3/D3</f>
        <v>0.89583333333333337</v>
      </c>
      <c r="G3">
        <v>335</v>
      </c>
      <c r="H3" s="3">
        <f t="shared" ref="H3:H61" si="3">+G3/E3</f>
        <v>0.97383720930232553</v>
      </c>
      <c r="I3">
        <v>9</v>
      </c>
      <c r="J3" s="3">
        <f t="shared" ref="J3:J61" si="4">+I3/G3</f>
        <v>2.6865671641791045E-2</v>
      </c>
      <c r="K3">
        <f t="shared" ref="K3:K61" si="5">+D3-E3</f>
        <v>40</v>
      </c>
      <c r="L3" s="3">
        <f t="shared" ref="L3:L61" si="6">+K3/G3</f>
        <v>0.11940298507462686</v>
      </c>
      <c r="M3">
        <v>3145.89</v>
      </c>
      <c r="N3">
        <v>161.80000000000001</v>
      </c>
      <c r="O3">
        <v>4.74</v>
      </c>
      <c r="P3">
        <v>2791.83</v>
      </c>
      <c r="Q3">
        <v>1.1299999999999999</v>
      </c>
      <c r="R3">
        <v>27.71</v>
      </c>
      <c r="S3">
        <v>2.16</v>
      </c>
      <c r="T3">
        <v>1256.5</v>
      </c>
      <c r="U3">
        <v>2051.19</v>
      </c>
      <c r="V3">
        <v>229</v>
      </c>
      <c r="W3" s="3">
        <f t="shared" si="1"/>
        <v>0.68358208955223876</v>
      </c>
    </row>
    <row r="4" spans="1:23" x14ac:dyDescent="0.3">
      <c r="A4" t="s">
        <v>40</v>
      </c>
      <c r="B4" t="s">
        <v>41</v>
      </c>
      <c r="C4" t="s">
        <v>36</v>
      </c>
      <c r="D4">
        <v>374</v>
      </c>
      <c r="E4">
        <f t="shared" si="0"/>
        <v>291</v>
      </c>
      <c r="F4" s="3">
        <f t="shared" si="2"/>
        <v>0.77807486631016043</v>
      </c>
      <c r="G4">
        <v>283</v>
      </c>
      <c r="H4" s="3">
        <f t="shared" si="3"/>
        <v>0.97250859106529208</v>
      </c>
      <c r="I4">
        <v>8</v>
      </c>
      <c r="J4" s="3">
        <f t="shared" si="4"/>
        <v>2.8268551236749116E-2</v>
      </c>
      <c r="K4">
        <f t="shared" si="5"/>
        <v>83</v>
      </c>
      <c r="L4" s="3">
        <f t="shared" si="6"/>
        <v>0.29328621908127206</v>
      </c>
      <c r="M4">
        <v>1856.21</v>
      </c>
      <c r="N4">
        <v>153.28</v>
      </c>
      <c r="O4">
        <v>4.7699999999999996</v>
      </c>
      <c r="P4">
        <v>1494.05</v>
      </c>
      <c r="Q4">
        <v>1.24</v>
      </c>
      <c r="R4">
        <v>29.56</v>
      </c>
      <c r="S4">
        <v>2.0299999999999998</v>
      </c>
      <c r="T4">
        <v>725.95</v>
      </c>
      <c r="U4">
        <v>1283.54</v>
      </c>
      <c r="V4">
        <v>147</v>
      </c>
      <c r="W4" s="3">
        <f t="shared" si="1"/>
        <v>0.51943462897526504</v>
      </c>
    </row>
    <row r="5" spans="1:23" x14ac:dyDescent="0.3">
      <c r="A5" t="s">
        <v>42</v>
      </c>
      <c r="B5" t="s">
        <v>43</v>
      </c>
      <c r="C5" t="s">
        <v>36</v>
      </c>
      <c r="D5">
        <v>310</v>
      </c>
      <c r="E5">
        <f t="shared" si="0"/>
        <v>271</v>
      </c>
      <c r="F5" s="3">
        <f t="shared" si="2"/>
        <v>0.87419354838709673</v>
      </c>
      <c r="G5">
        <v>259</v>
      </c>
      <c r="H5" s="3">
        <f t="shared" si="3"/>
        <v>0.955719557195572</v>
      </c>
      <c r="I5">
        <v>12</v>
      </c>
      <c r="J5" s="3">
        <f t="shared" si="4"/>
        <v>4.633204633204633E-2</v>
      </c>
      <c r="K5">
        <f t="shared" si="5"/>
        <v>39</v>
      </c>
      <c r="L5" s="3">
        <f t="shared" si="6"/>
        <v>0.15057915057915058</v>
      </c>
      <c r="M5">
        <v>2044.87</v>
      </c>
      <c r="N5">
        <v>158.33000000000001</v>
      </c>
      <c r="O5">
        <v>4.8099999999999996</v>
      </c>
      <c r="P5">
        <v>1728.83</v>
      </c>
      <c r="Q5">
        <v>1.18</v>
      </c>
      <c r="R5">
        <v>28.26</v>
      </c>
      <c r="S5">
        <v>2.12</v>
      </c>
      <c r="T5">
        <v>808.09</v>
      </c>
      <c r="U5">
        <v>1395.11</v>
      </c>
      <c r="V5">
        <v>182</v>
      </c>
      <c r="W5" s="3">
        <f t="shared" si="1"/>
        <v>0.70270270270270274</v>
      </c>
    </row>
    <row r="6" spans="1:23" x14ac:dyDescent="0.3">
      <c r="A6" t="s">
        <v>44</v>
      </c>
      <c r="B6" t="s">
        <v>45</v>
      </c>
      <c r="C6" t="s">
        <v>36</v>
      </c>
      <c r="D6">
        <v>296</v>
      </c>
      <c r="E6">
        <f t="shared" si="0"/>
        <v>295</v>
      </c>
      <c r="F6" s="3">
        <f t="shared" si="2"/>
        <v>0.9966216216216216</v>
      </c>
      <c r="G6">
        <v>286</v>
      </c>
      <c r="H6" s="3">
        <f t="shared" si="3"/>
        <v>0.96949152542372885</v>
      </c>
      <c r="I6">
        <v>9</v>
      </c>
      <c r="J6" s="3">
        <f t="shared" si="4"/>
        <v>3.1468531468531472E-2</v>
      </c>
      <c r="K6">
        <f t="shared" si="5"/>
        <v>1</v>
      </c>
      <c r="L6" s="3">
        <f t="shared" si="6"/>
        <v>3.4965034965034965E-3</v>
      </c>
      <c r="M6">
        <v>1757.25</v>
      </c>
      <c r="N6">
        <v>157.97</v>
      </c>
      <c r="O6">
        <v>4.68</v>
      </c>
      <c r="P6">
        <v>1584.92</v>
      </c>
      <c r="Q6">
        <v>1.1100000000000001</v>
      </c>
      <c r="R6">
        <v>28.74</v>
      </c>
      <c r="S6">
        <v>2.09</v>
      </c>
      <c r="T6">
        <v>704.43</v>
      </c>
      <c r="U6">
        <v>1210.79</v>
      </c>
      <c r="V6">
        <v>211</v>
      </c>
      <c r="W6" s="3">
        <f t="shared" si="1"/>
        <v>0.73776223776223782</v>
      </c>
    </row>
    <row r="7" spans="1:23" x14ac:dyDescent="0.3">
      <c r="A7" t="s">
        <v>46</v>
      </c>
      <c r="B7" t="s">
        <v>47</v>
      </c>
      <c r="C7" t="s">
        <v>36</v>
      </c>
      <c r="D7">
        <v>281</v>
      </c>
      <c r="E7">
        <f t="shared" si="0"/>
        <v>247</v>
      </c>
      <c r="F7" s="3">
        <f t="shared" si="2"/>
        <v>0.87900355871886116</v>
      </c>
      <c r="G7">
        <v>234</v>
      </c>
      <c r="H7" s="3">
        <f t="shared" si="3"/>
        <v>0.94736842105263153</v>
      </c>
      <c r="I7">
        <v>13</v>
      </c>
      <c r="J7" s="3">
        <f t="shared" si="4"/>
        <v>5.5555555555555552E-2</v>
      </c>
      <c r="K7">
        <f t="shared" si="5"/>
        <v>34</v>
      </c>
      <c r="L7" s="3">
        <f t="shared" si="6"/>
        <v>0.14529914529914531</v>
      </c>
      <c r="M7">
        <v>1511.39</v>
      </c>
      <c r="N7">
        <v>116.62</v>
      </c>
      <c r="O7">
        <v>4.76</v>
      </c>
      <c r="P7">
        <v>1398.6</v>
      </c>
      <c r="Q7">
        <v>1.08</v>
      </c>
      <c r="R7">
        <v>30.82</v>
      </c>
      <c r="S7">
        <v>1.95</v>
      </c>
      <c r="T7">
        <v>609.44000000000005</v>
      </c>
      <c r="U7">
        <v>1018.57</v>
      </c>
      <c r="V7">
        <v>109</v>
      </c>
      <c r="W7" s="3">
        <f t="shared" si="1"/>
        <v>0.46581196581196582</v>
      </c>
    </row>
    <row r="8" spans="1:23" x14ac:dyDescent="0.3">
      <c r="A8" t="s">
        <v>48</v>
      </c>
      <c r="B8" t="s">
        <v>49</v>
      </c>
      <c r="C8" t="s">
        <v>36</v>
      </c>
      <c r="D8">
        <v>318</v>
      </c>
      <c r="E8">
        <f t="shared" si="0"/>
        <v>282</v>
      </c>
      <c r="F8" s="3">
        <f t="shared" si="2"/>
        <v>0.8867924528301887</v>
      </c>
      <c r="G8">
        <v>273</v>
      </c>
      <c r="H8" s="3">
        <f t="shared" si="3"/>
        <v>0.96808510638297873</v>
      </c>
      <c r="I8">
        <v>9</v>
      </c>
      <c r="J8" s="3">
        <f t="shared" si="4"/>
        <v>3.2967032967032968E-2</v>
      </c>
      <c r="K8">
        <f t="shared" si="5"/>
        <v>36</v>
      </c>
      <c r="L8" s="3">
        <f t="shared" si="6"/>
        <v>0.13186813186813187</v>
      </c>
      <c r="M8">
        <v>2287.94</v>
      </c>
      <c r="N8">
        <v>123.12</v>
      </c>
      <c r="O8">
        <v>4.83</v>
      </c>
      <c r="P8">
        <v>1839.42</v>
      </c>
      <c r="Q8">
        <v>1.24</v>
      </c>
      <c r="R8">
        <v>29.27</v>
      </c>
      <c r="S8">
        <v>2.0499999999999998</v>
      </c>
      <c r="T8">
        <v>894.58</v>
      </c>
      <c r="U8">
        <v>1516.48</v>
      </c>
      <c r="V8">
        <v>148</v>
      </c>
      <c r="W8" s="3">
        <f t="shared" si="1"/>
        <v>0.54212454212454209</v>
      </c>
    </row>
    <row r="9" spans="1:23" x14ac:dyDescent="0.3">
      <c r="A9" t="s">
        <v>50</v>
      </c>
      <c r="B9" t="s">
        <v>51</v>
      </c>
      <c r="C9" t="s">
        <v>36</v>
      </c>
      <c r="D9">
        <v>254</v>
      </c>
      <c r="E9">
        <f t="shared" si="0"/>
        <v>222</v>
      </c>
      <c r="F9" s="3">
        <f t="shared" si="2"/>
        <v>0.87401574803149606</v>
      </c>
      <c r="G9">
        <v>213</v>
      </c>
      <c r="H9" s="3">
        <f t="shared" si="3"/>
        <v>0.95945945945945943</v>
      </c>
      <c r="I9">
        <v>9</v>
      </c>
      <c r="J9" s="3">
        <f t="shared" si="4"/>
        <v>4.2253521126760563E-2</v>
      </c>
      <c r="K9">
        <f t="shared" si="5"/>
        <v>32</v>
      </c>
      <c r="L9" s="3">
        <f t="shared" si="6"/>
        <v>0.15023474178403756</v>
      </c>
      <c r="M9">
        <v>1871.83</v>
      </c>
      <c r="N9">
        <v>137.22</v>
      </c>
      <c r="O9">
        <v>4.7699999999999996</v>
      </c>
      <c r="P9">
        <v>1538.1</v>
      </c>
      <c r="Q9">
        <v>1.22</v>
      </c>
      <c r="R9">
        <v>38.99</v>
      </c>
      <c r="S9">
        <v>1.54</v>
      </c>
      <c r="T9">
        <v>735.23</v>
      </c>
      <c r="U9">
        <v>1273.82</v>
      </c>
      <c r="V9">
        <v>121</v>
      </c>
      <c r="W9" s="3">
        <f t="shared" si="1"/>
        <v>0.568075117370892</v>
      </c>
    </row>
    <row r="10" spans="1:23" x14ac:dyDescent="0.3">
      <c r="A10" t="s">
        <v>52</v>
      </c>
      <c r="B10" t="s">
        <v>53</v>
      </c>
      <c r="C10" t="s">
        <v>36</v>
      </c>
      <c r="D10">
        <v>240</v>
      </c>
      <c r="E10">
        <f t="shared" si="0"/>
        <v>240</v>
      </c>
      <c r="F10" s="3">
        <f t="shared" si="2"/>
        <v>1</v>
      </c>
      <c r="G10">
        <v>229</v>
      </c>
      <c r="H10" s="3">
        <f t="shared" si="3"/>
        <v>0.95416666666666672</v>
      </c>
      <c r="I10">
        <v>11</v>
      </c>
      <c r="J10" s="3">
        <f t="shared" si="4"/>
        <v>4.8034934497816595E-2</v>
      </c>
      <c r="K10">
        <f t="shared" si="5"/>
        <v>0</v>
      </c>
      <c r="L10" s="3">
        <f t="shared" si="6"/>
        <v>0</v>
      </c>
      <c r="M10">
        <v>1287.3</v>
      </c>
      <c r="N10">
        <v>110.69</v>
      </c>
      <c r="O10">
        <v>4.74</v>
      </c>
      <c r="P10">
        <v>1177.47</v>
      </c>
      <c r="Q10">
        <v>1.0900000000000001</v>
      </c>
      <c r="R10">
        <v>40.909999999999997</v>
      </c>
      <c r="S10">
        <v>1.47</v>
      </c>
      <c r="T10">
        <v>517.69000000000005</v>
      </c>
      <c r="U10">
        <v>880.29</v>
      </c>
      <c r="V10">
        <v>162</v>
      </c>
      <c r="W10" s="3">
        <f t="shared" si="1"/>
        <v>0.70742358078602618</v>
      </c>
    </row>
    <row r="11" spans="1:23" x14ac:dyDescent="0.3">
      <c r="A11" t="s">
        <v>54</v>
      </c>
      <c r="B11" t="s">
        <v>55</v>
      </c>
      <c r="C11" t="s">
        <v>36</v>
      </c>
      <c r="D11">
        <v>234</v>
      </c>
      <c r="E11">
        <f t="shared" si="0"/>
        <v>209</v>
      </c>
      <c r="F11" s="3">
        <f t="shared" si="2"/>
        <v>0.89316239316239321</v>
      </c>
      <c r="G11">
        <v>208</v>
      </c>
      <c r="H11" s="3">
        <f t="shared" si="3"/>
        <v>0.99521531100478466</v>
      </c>
      <c r="I11">
        <v>1</v>
      </c>
      <c r="J11" s="3">
        <f t="shared" si="4"/>
        <v>4.807692307692308E-3</v>
      </c>
      <c r="K11">
        <f t="shared" si="5"/>
        <v>25</v>
      </c>
      <c r="L11" s="3">
        <f t="shared" si="6"/>
        <v>0.1201923076923077</v>
      </c>
      <c r="M11">
        <v>1763.72</v>
      </c>
      <c r="N11">
        <v>84.86</v>
      </c>
      <c r="O11">
        <v>4.6100000000000003</v>
      </c>
      <c r="P11">
        <v>1487.54</v>
      </c>
      <c r="Q11">
        <v>1.19</v>
      </c>
      <c r="R11">
        <v>37.21</v>
      </c>
      <c r="S11">
        <v>1.61</v>
      </c>
      <c r="T11">
        <v>696.62</v>
      </c>
      <c r="U11">
        <v>1151.96</v>
      </c>
      <c r="V11">
        <v>131</v>
      </c>
      <c r="W11" s="3">
        <f t="shared" si="1"/>
        <v>0.62980769230769229</v>
      </c>
    </row>
    <row r="12" spans="1:23" x14ac:dyDescent="0.3">
      <c r="A12" t="s">
        <v>56</v>
      </c>
      <c r="B12" t="s">
        <v>57</v>
      </c>
      <c r="C12" t="s">
        <v>36</v>
      </c>
      <c r="D12">
        <v>334</v>
      </c>
      <c r="E12">
        <f t="shared" si="0"/>
        <v>266</v>
      </c>
      <c r="F12" s="3">
        <f t="shared" si="2"/>
        <v>0.79640718562874246</v>
      </c>
      <c r="G12">
        <v>261</v>
      </c>
      <c r="H12" s="3">
        <f t="shared" si="3"/>
        <v>0.98120300751879697</v>
      </c>
      <c r="I12">
        <v>5</v>
      </c>
      <c r="J12" s="3">
        <f t="shared" si="4"/>
        <v>1.9157088122605363E-2</v>
      </c>
      <c r="K12">
        <f t="shared" si="5"/>
        <v>68</v>
      </c>
      <c r="L12" s="3">
        <f t="shared" si="6"/>
        <v>0.26053639846743293</v>
      </c>
      <c r="M12">
        <v>2089.9899999999998</v>
      </c>
      <c r="N12">
        <v>182.21</v>
      </c>
      <c r="O12">
        <v>4.88</v>
      </c>
      <c r="P12">
        <v>1766.69</v>
      </c>
      <c r="Q12">
        <v>1.18</v>
      </c>
      <c r="R12">
        <v>31.52</v>
      </c>
      <c r="S12">
        <v>1.91</v>
      </c>
      <c r="T12">
        <v>825.89</v>
      </c>
      <c r="U12">
        <v>1446.31</v>
      </c>
      <c r="V12">
        <v>173</v>
      </c>
      <c r="W12" s="3">
        <f t="shared" si="1"/>
        <v>0.66283524904214564</v>
      </c>
    </row>
    <row r="13" spans="1:23" x14ac:dyDescent="0.3">
      <c r="A13" t="s">
        <v>59</v>
      </c>
      <c r="B13" t="s">
        <v>60</v>
      </c>
      <c r="C13" t="s">
        <v>36</v>
      </c>
      <c r="D13">
        <v>339</v>
      </c>
      <c r="E13">
        <f t="shared" si="0"/>
        <v>319</v>
      </c>
      <c r="F13" s="3">
        <f t="shared" si="2"/>
        <v>0.94100294985250732</v>
      </c>
      <c r="G13">
        <v>315</v>
      </c>
      <c r="H13" s="3">
        <f t="shared" si="3"/>
        <v>0.98746081504702199</v>
      </c>
      <c r="I13">
        <v>4</v>
      </c>
      <c r="J13" s="3">
        <f t="shared" si="4"/>
        <v>1.2698412698412698E-2</v>
      </c>
      <c r="K13">
        <f t="shared" si="5"/>
        <v>20</v>
      </c>
      <c r="L13" s="3">
        <f t="shared" si="6"/>
        <v>6.3492063492063489E-2</v>
      </c>
      <c r="M13">
        <v>2621.5</v>
      </c>
      <c r="N13">
        <v>80.180000000000007</v>
      </c>
      <c r="O13">
        <v>4.66</v>
      </c>
      <c r="P13">
        <v>2347.61</v>
      </c>
      <c r="Q13">
        <v>1.1200000000000001</v>
      </c>
      <c r="R13">
        <v>35.130000000000003</v>
      </c>
      <c r="S13">
        <v>1.71</v>
      </c>
      <c r="T13">
        <v>1049.19</v>
      </c>
      <c r="U13">
        <v>1652.49</v>
      </c>
      <c r="V13">
        <v>207</v>
      </c>
      <c r="W13" s="3">
        <f t="shared" si="1"/>
        <v>0.65714285714285714</v>
      </c>
    </row>
    <row r="14" spans="1:23" x14ac:dyDescent="0.3">
      <c r="A14" t="s">
        <v>61</v>
      </c>
      <c r="B14" t="s">
        <v>62</v>
      </c>
      <c r="C14" t="s">
        <v>36</v>
      </c>
      <c r="D14">
        <v>444</v>
      </c>
      <c r="E14">
        <f t="shared" si="0"/>
        <v>375</v>
      </c>
      <c r="F14" s="3">
        <f t="shared" si="2"/>
        <v>0.84459459459459463</v>
      </c>
      <c r="G14">
        <v>375</v>
      </c>
      <c r="H14" s="3">
        <f t="shared" si="3"/>
        <v>1</v>
      </c>
      <c r="I14">
        <v>0</v>
      </c>
      <c r="J14" s="3">
        <f t="shared" si="4"/>
        <v>0</v>
      </c>
      <c r="K14">
        <f t="shared" si="5"/>
        <v>69</v>
      </c>
      <c r="L14" s="3">
        <f t="shared" si="6"/>
        <v>0.184</v>
      </c>
      <c r="M14">
        <v>2660.71</v>
      </c>
      <c r="N14">
        <v>137.54</v>
      </c>
      <c r="O14">
        <v>4.71</v>
      </c>
      <c r="P14">
        <v>2588.09</v>
      </c>
      <c r="Q14">
        <v>1.03</v>
      </c>
      <c r="R14">
        <v>21.64</v>
      </c>
      <c r="S14">
        <v>2.77</v>
      </c>
      <c r="T14">
        <v>1085.57</v>
      </c>
      <c r="U14">
        <v>1712.68</v>
      </c>
      <c r="V14">
        <v>226</v>
      </c>
      <c r="W14" s="3">
        <f t="shared" si="1"/>
        <v>0.60266666666666668</v>
      </c>
    </row>
    <row r="15" spans="1:23" x14ac:dyDescent="0.3">
      <c r="A15" t="s">
        <v>63</v>
      </c>
      <c r="B15" t="s">
        <v>64</v>
      </c>
      <c r="C15" t="s">
        <v>36</v>
      </c>
      <c r="D15">
        <v>320</v>
      </c>
      <c r="E15">
        <f t="shared" si="0"/>
        <v>308</v>
      </c>
      <c r="F15" s="3">
        <f t="shared" si="2"/>
        <v>0.96250000000000002</v>
      </c>
      <c r="G15">
        <v>299</v>
      </c>
      <c r="H15" s="3">
        <f t="shared" si="3"/>
        <v>0.97077922077922074</v>
      </c>
      <c r="I15">
        <v>9</v>
      </c>
      <c r="J15" s="3">
        <f t="shared" si="4"/>
        <v>3.0100334448160536E-2</v>
      </c>
      <c r="K15">
        <f t="shared" si="5"/>
        <v>12</v>
      </c>
      <c r="L15" s="3">
        <f t="shared" si="6"/>
        <v>4.0133779264214048E-2</v>
      </c>
      <c r="M15">
        <v>2716.28</v>
      </c>
      <c r="N15">
        <v>170.05</v>
      </c>
      <c r="O15">
        <v>4.9000000000000004</v>
      </c>
      <c r="P15">
        <v>1919.38</v>
      </c>
      <c r="Q15">
        <v>1.42</v>
      </c>
      <c r="R15">
        <v>32.340000000000003</v>
      </c>
      <c r="S15">
        <v>1.85</v>
      </c>
      <c r="T15">
        <v>1035.43</v>
      </c>
      <c r="U15">
        <v>1850.91</v>
      </c>
      <c r="V15">
        <v>167</v>
      </c>
      <c r="W15" s="3">
        <f t="shared" si="1"/>
        <v>0.55852842809364545</v>
      </c>
    </row>
    <row r="16" spans="1:23" x14ac:dyDescent="0.3">
      <c r="A16" t="s">
        <v>65</v>
      </c>
      <c r="B16" t="s">
        <v>66</v>
      </c>
      <c r="C16" t="s">
        <v>36</v>
      </c>
      <c r="D16">
        <v>311</v>
      </c>
      <c r="E16">
        <f t="shared" si="0"/>
        <v>249</v>
      </c>
      <c r="F16" s="3">
        <f t="shared" si="2"/>
        <v>0.80064308681672025</v>
      </c>
      <c r="G16">
        <v>235</v>
      </c>
      <c r="H16" s="3">
        <f t="shared" si="3"/>
        <v>0.94377510040160639</v>
      </c>
      <c r="I16">
        <v>14</v>
      </c>
      <c r="J16" s="3">
        <f t="shared" si="4"/>
        <v>5.9574468085106386E-2</v>
      </c>
      <c r="K16">
        <f t="shared" si="5"/>
        <v>62</v>
      </c>
      <c r="L16" s="3">
        <f t="shared" si="6"/>
        <v>0.26382978723404255</v>
      </c>
      <c r="M16">
        <v>1559.57</v>
      </c>
      <c r="N16">
        <v>105.58</v>
      </c>
      <c r="O16">
        <v>4.76</v>
      </c>
      <c r="P16">
        <v>1209.22</v>
      </c>
      <c r="Q16">
        <v>1.29</v>
      </c>
      <c r="R16">
        <v>35.64</v>
      </c>
      <c r="S16">
        <v>1.68</v>
      </c>
      <c r="T16">
        <v>605.29999999999995</v>
      </c>
      <c r="U16">
        <v>1059.8599999999999</v>
      </c>
      <c r="V16">
        <v>145</v>
      </c>
      <c r="W16" s="3">
        <f t="shared" si="1"/>
        <v>0.61702127659574468</v>
      </c>
    </row>
    <row r="17" spans="1:23" x14ac:dyDescent="0.3">
      <c r="A17" t="s">
        <v>67</v>
      </c>
      <c r="B17" t="s">
        <v>68</v>
      </c>
      <c r="C17" t="s">
        <v>36</v>
      </c>
      <c r="D17">
        <v>235</v>
      </c>
      <c r="E17">
        <f t="shared" si="0"/>
        <v>233</v>
      </c>
      <c r="F17" s="3">
        <f t="shared" si="2"/>
        <v>0.99148936170212765</v>
      </c>
      <c r="G17">
        <v>223</v>
      </c>
      <c r="H17" s="3">
        <f t="shared" si="3"/>
        <v>0.9570815450643777</v>
      </c>
      <c r="I17">
        <v>10</v>
      </c>
      <c r="J17" s="3">
        <f t="shared" si="4"/>
        <v>4.4843049327354258E-2</v>
      </c>
      <c r="K17">
        <f t="shared" si="5"/>
        <v>2</v>
      </c>
      <c r="L17" s="3">
        <f t="shared" si="6"/>
        <v>8.9686098654708519E-3</v>
      </c>
      <c r="M17">
        <v>2321.8200000000002</v>
      </c>
      <c r="N17">
        <v>133.80000000000001</v>
      </c>
      <c r="O17">
        <v>4.8099999999999996</v>
      </c>
      <c r="P17">
        <v>1977.71</v>
      </c>
      <c r="Q17">
        <v>1.17</v>
      </c>
      <c r="R17">
        <v>34.090000000000003</v>
      </c>
      <c r="S17">
        <v>1.76</v>
      </c>
      <c r="T17">
        <v>919.02</v>
      </c>
      <c r="U17">
        <v>1536.61</v>
      </c>
      <c r="V17">
        <v>173</v>
      </c>
      <c r="W17" s="3">
        <f t="shared" si="1"/>
        <v>0.77578475336322872</v>
      </c>
    </row>
    <row r="18" spans="1:23" x14ac:dyDescent="0.3">
      <c r="A18" t="s">
        <v>69</v>
      </c>
      <c r="B18" t="s">
        <v>70</v>
      </c>
      <c r="C18" t="s">
        <v>36</v>
      </c>
      <c r="D18">
        <v>352</v>
      </c>
      <c r="E18">
        <f t="shared" si="0"/>
        <v>311</v>
      </c>
      <c r="F18" s="3">
        <f t="shared" si="2"/>
        <v>0.88352272727272729</v>
      </c>
      <c r="G18">
        <v>297</v>
      </c>
      <c r="H18" s="3">
        <f t="shared" si="3"/>
        <v>0.954983922829582</v>
      </c>
      <c r="I18">
        <v>14</v>
      </c>
      <c r="J18" s="3">
        <f t="shared" si="4"/>
        <v>4.7138047138047139E-2</v>
      </c>
      <c r="K18">
        <f t="shared" si="5"/>
        <v>41</v>
      </c>
      <c r="L18" s="3">
        <f t="shared" si="6"/>
        <v>0.13804713804713806</v>
      </c>
      <c r="M18">
        <v>1308.51</v>
      </c>
      <c r="N18">
        <v>121.72</v>
      </c>
      <c r="O18">
        <v>4.99</v>
      </c>
      <c r="P18">
        <v>1385</v>
      </c>
      <c r="Q18">
        <v>0.94</v>
      </c>
      <c r="R18">
        <v>26.91</v>
      </c>
      <c r="S18">
        <v>2.23</v>
      </c>
      <c r="T18">
        <v>545.17999999999995</v>
      </c>
      <c r="U18">
        <v>885.05</v>
      </c>
      <c r="V18">
        <v>178</v>
      </c>
      <c r="W18" s="3">
        <f t="shared" si="1"/>
        <v>0.59932659932659937</v>
      </c>
    </row>
    <row r="19" spans="1:23" x14ac:dyDescent="0.3">
      <c r="A19" t="s">
        <v>71</v>
      </c>
      <c r="B19" t="s">
        <v>72</v>
      </c>
      <c r="C19" t="s">
        <v>36</v>
      </c>
      <c r="D19">
        <v>194</v>
      </c>
      <c r="E19">
        <f t="shared" si="0"/>
        <v>185</v>
      </c>
      <c r="F19" s="3">
        <f t="shared" si="2"/>
        <v>0.95360824742268047</v>
      </c>
      <c r="G19">
        <v>179</v>
      </c>
      <c r="H19" s="3">
        <f t="shared" si="3"/>
        <v>0.96756756756756757</v>
      </c>
      <c r="I19">
        <v>6</v>
      </c>
      <c r="J19" s="3">
        <f t="shared" si="4"/>
        <v>3.3519553072625698E-2</v>
      </c>
      <c r="K19">
        <f t="shared" si="5"/>
        <v>9</v>
      </c>
      <c r="L19" s="3">
        <f t="shared" si="6"/>
        <v>5.027932960893855E-2</v>
      </c>
      <c r="M19">
        <v>1307.95</v>
      </c>
      <c r="N19">
        <v>87.31</v>
      </c>
      <c r="O19">
        <v>4.95</v>
      </c>
      <c r="P19">
        <v>1162.1199999999999</v>
      </c>
      <c r="Q19">
        <v>1.1299999999999999</v>
      </c>
      <c r="R19">
        <v>38.159999999999997</v>
      </c>
      <c r="S19">
        <v>1.57</v>
      </c>
      <c r="T19">
        <v>522.54999999999995</v>
      </c>
      <c r="U19">
        <v>872.71</v>
      </c>
      <c r="V19">
        <v>113</v>
      </c>
      <c r="W19" s="3">
        <f t="shared" si="1"/>
        <v>0.63128491620111726</v>
      </c>
    </row>
    <row r="20" spans="1:23" x14ac:dyDescent="0.3">
      <c r="A20" t="s">
        <v>34</v>
      </c>
      <c r="B20" t="s">
        <v>35</v>
      </c>
      <c r="C20" t="s">
        <v>73</v>
      </c>
      <c r="D20">
        <v>349</v>
      </c>
      <c r="E20">
        <f t="shared" si="0"/>
        <v>329</v>
      </c>
      <c r="F20" s="3">
        <f t="shared" si="2"/>
        <v>0.94269340974212035</v>
      </c>
      <c r="G20">
        <v>322</v>
      </c>
      <c r="H20" s="3">
        <f t="shared" si="3"/>
        <v>0.97872340425531912</v>
      </c>
      <c r="I20">
        <v>7</v>
      </c>
      <c r="J20" s="3">
        <f t="shared" si="4"/>
        <v>2.1739130434782608E-2</v>
      </c>
      <c r="K20">
        <f t="shared" si="5"/>
        <v>20</v>
      </c>
      <c r="L20" s="3">
        <f t="shared" si="6"/>
        <v>6.2111801242236024E-2</v>
      </c>
      <c r="M20">
        <v>2486.7399999999998</v>
      </c>
      <c r="N20">
        <v>83.24</v>
      </c>
      <c r="O20">
        <v>4.78</v>
      </c>
      <c r="P20">
        <v>1931.62</v>
      </c>
      <c r="Q20">
        <v>1.29</v>
      </c>
      <c r="R20">
        <v>31.86</v>
      </c>
      <c r="S20">
        <v>1.89</v>
      </c>
      <c r="T20">
        <v>965.5</v>
      </c>
      <c r="U20">
        <v>1604.47</v>
      </c>
      <c r="V20">
        <v>181</v>
      </c>
      <c r="W20" s="3">
        <f t="shared" si="1"/>
        <v>0.56211180124223603</v>
      </c>
    </row>
    <row r="21" spans="1:23" x14ac:dyDescent="0.3">
      <c r="A21" t="s">
        <v>38</v>
      </c>
      <c r="B21" t="s">
        <v>39</v>
      </c>
      <c r="C21" t="s">
        <v>73</v>
      </c>
      <c r="D21">
        <v>324</v>
      </c>
      <c r="E21">
        <f t="shared" si="0"/>
        <v>264</v>
      </c>
      <c r="F21" s="3">
        <f t="shared" si="2"/>
        <v>0.81481481481481477</v>
      </c>
      <c r="G21">
        <v>257</v>
      </c>
      <c r="H21" s="3">
        <f t="shared" si="3"/>
        <v>0.97348484848484851</v>
      </c>
      <c r="I21">
        <v>7</v>
      </c>
      <c r="J21" s="3">
        <f t="shared" si="4"/>
        <v>2.7237354085603113E-2</v>
      </c>
      <c r="K21">
        <f t="shared" si="5"/>
        <v>60</v>
      </c>
      <c r="L21" s="3">
        <f t="shared" si="6"/>
        <v>0.23346303501945526</v>
      </c>
      <c r="M21">
        <v>1879.46</v>
      </c>
      <c r="N21">
        <v>119.4</v>
      </c>
      <c r="O21">
        <v>4.6500000000000004</v>
      </c>
      <c r="P21">
        <v>1584.2</v>
      </c>
      <c r="Q21">
        <v>1.19</v>
      </c>
      <c r="R21">
        <v>29.07</v>
      </c>
      <c r="S21">
        <v>2.06</v>
      </c>
      <c r="T21">
        <v>742.24</v>
      </c>
      <c r="U21">
        <v>1256.6199999999999</v>
      </c>
      <c r="V21">
        <v>162</v>
      </c>
      <c r="W21" s="3">
        <f t="shared" si="1"/>
        <v>0.63035019455252916</v>
      </c>
    </row>
    <row r="22" spans="1:23" x14ac:dyDescent="0.3">
      <c r="A22" t="s">
        <v>40</v>
      </c>
      <c r="B22" t="s">
        <v>41</v>
      </c>
      <c r="C22" t="s">
        <v>73</v>
      </c>
      <c r="D22">
        <v>306</v>
      </c>
      <c r="E22">
        <f t="shared" si="0"/>
        <v>285</v>
      </c>
      <c r="F22" s="3">
        <f t="shared" si="2"/>
        <v>0.93137254901960786</v>
      </c>
      <c r="G22">
        <v>282</v>
      </c>
      <c r="H22" s="3">
        <f t="shared" si="3"/>
        <v>0.98947368421052628</v>
      </c>
      <c r="I22">
        <v>3</v>
      </c>
      <c r="J22" s="3">
        <f t="shared" si="4"/>
        <v>1.0638297872340425E-2</v>
      </c>
      <c r="K22">
        <f t="shared" si="5"/>
        <v>21</v>
      </c>
      <c r="L22" s="3">
        <f t="shared" si="6"/>
        <v>7.4468085106382975E-2</v>
      </c>
      <c r="M22">
        <v>1895.55</v>
      </c>
      <c r="N22">
        <v>159.44999999999999</v>
      </c>
      <c r="O22">
        <v>4.6900000000000004</v>
      </c>
      <c r="P22">
        <v>1583.13</v>
      </c>
      <c r="Q22">
        <v>1.2</v>
      </c>
      <c r="R22">
        <v>24.4</v>
      </c>
      <c r="S22">
        <v>2.46</v>
      </c>
      <c r="T22">
        <v>747.12</v>
      </c>
      <c r="U22">
        <v>1307.8699999999999</v>
      </c>
      <c r="V22">
        <v>153</v>
      </c>
      <c r="W22" s="3">
        <f t="shared" si="1"/>
        <v>0.54255319148936165</v>
      </c>
    </row>
    <row r="23" spans="1:23" x14ac:dyDescent="0.3">
      <c r="A23" t="s">
        <v>42</v>
      </c>
      <c r="B23" t="s">
        <v>43</v>
      </c>
      <c r="C23" t="s">
        <v>73</v>
      </c>
      <c r="D23">
        <v>198</v>
      </c>
      <c r="E23">
        <f t="shared" si="0"/>
        <v>185</v>
      </c>
      <c r="F23" s="3">
        <f t="shared" si="2"/>
        <v>0.93434343434343436</v>
      </c>
      <c r="G23">
        <v>178</v>
      </c>
      <c r="H23" s="3">
        <f t="shared" si="3"/>
        <v>0.96216216216216222</v>
      </c>
      <c r="I23">
        <v>7</v>
      </c>
      <c r="J23" s="3">
        <f t="shared" si="4"/>
        <v>3.9325842696629212E-2</v>
      </c>
      <c r="K23">
        <f t="shared" si="5"/>
        <v>13</v>
      </c>
      <c r="L23" s="3">
        <f t="shared" si="6"/>
        <v>7.3033707865168537E-2</v>
      </c>
      <c r="M23">
        <v>639.51</v>
      </c>
      <c r="N23">
        <v>65.599999999999994</v>
      </c>
      <c r="O23">
        <v>4.63</v>
      </c>
      <c r="P23">
        <v>687.69</v>
      </c>
      <c r="Q23">
        <v>0.93</v>
      </c>
      <c r="R23">
        <v>37.92</v>
      </c>
      <c r="S23">
        <v>1.58</v>
      </c>
      <c r="T23">
        <v>267.52999999999997</v>
      </c>
      <c r="U23">
        <v>437.58</v>
      </c>
      <c r="V23">
        <v>87</v>
      </c>
      <c r="W23" s="3">
        <f t="shared" si="1"/>
        <v>0.4887640449438202</v>
      </c>
    </row>
    <row r="24" spans="1:23" x14ac:dyDescent="0.3">
      <c r="A24" t="s">
        <v>44</v>
      </c>
      <c r="B24" t="s">
        <v>45</v>
      </c>
      <c r="C24" t="s">
        <v>73</v>
      </c>
      <c r="D24">
        <v>220</v>
      </c>
      <c r="E24">
        <f t="shared" si="0"/>
        <v>211</v>
      </c>
      <c r="F24" s="3">
        <f t="shared" si="2"/>
        <v>0.95909090909090911</v>
      </c>
      <c r="G24">
        <v>196</v>
      </c>
      <c r="H24" s="3">
        <f t="shared" si="3"/>
        <v>0.92890995260663511</v>
      </c>
      <c r="I24">
        <v>15</v>
      </c>
      <c r="J24" s="3">
        <f t="shared" si="4"/>
        <v>7.6530612244897961E-2</v>
      </c>
      <c r="K24">
        <f t="shared" si="5"/>
        <v>9</v>
      </c>
      <c r="L24" s="3">
        <f t="shared" si="6"/>
        <v>4.5918367346938778E-2</v>
      </c>
      <c r="M24">
        <v>1095.25</v>
      </c>
      <c r="N24">
        <v>82.74</v>
      </c>
      <c r="O24">
        <v>4.83</v>
      </c>
      <c r="P24">
        <v>983.86</v>
      </c>
      <c r="Q24">
        <v>1.1100000000000001</v>
      </c>
      <c r="R24">
        <v>38.82</v>
      </c>
      <c r="S24">
        <v>1.55</v>
      </c>
      <c r="T24">
        <v>438.65</v>
      </c>
      <c r="U24">
        <v>739.34</v>
      </c>
      <c r="V24">
        <v>113</v>
      </c>
      <c r="W24" s="3">
        <f t="shared" si="1"/>
        <v>0.57653061224489799</v>
      </c>
    </row>
    <row r="25" spans="1:23" x14ac:dyDescent="0.3">
      <c r="A25" t="s">
        <v>46</v>
      </c>
      <c r="B25" t="s">
        <v>47</v>
      </c>
      <c r="C25" t="s">
        <v>73</v>
      </c>
      <c r="D25">
        <v>314</v>
      </c>
      <c r="E25">
        <f t="shared" si="0"/>
        <v>286</v>
      </c>
      <c r="F25" s="3">
        <f t="shared" si="2"/>
        <v>0.91082802547770703</v>
      </c>
      <c r="G25">
        <v>278</v>
      </c>
      <c r="H25" s="3">
        <f t="shared" si="3"/>
        <v>0.97202797202797198</v>
      </c>
      <c r="I25">
        <v>8</v>
      </c>
      <c r="J25" s="3">
        <f t="shared" si="4"/>
        <v>2.8776978417266189E-2</v>
      </c>
      <c r="K25">
        <f t="shared" si="5"/>
        <v>28</v>
      </c>
      <c r="L25" s="3">
        <f t="shared" si="6"/>
        <v>0.10071942446043165</v>
      </c>
      <c r="M25">
        <v>2608.54</v>
      </c>
      <c r="N25">
        <v>164.62</v>
      </c>
      <c r="O25">
        <v>4.82</v>
      </c>
      <c r="P25">
        <v>2003.63</v>
      </c>
      <c r="Q25">
        <v>1.3</v>
      </c>
      <c r="R25">
        <v>32.81</v>
      </c>
      <c r="S25">
        <v>1.83</v>
      </c>
      <c r="T25">
        <v>1010.51</v>
      </c>
      <c r="U25">
        <v>1762.65</v>
      </c>
      <c r="V25">
        <v>174</v>
      </c>
      <c r="W25" s="3">
        <f t="shared" si="1"/>
        <v>0.62589928057553956</v>
      </c>
    </row>
    <row r="26" spans="1:23" x14ac:dyDescent="0.3">
      <c r="A26" t="s">
        <v>48</v>
      </c>
      <c r="B26" t="s">
        <v>49</v>
      </c>
      <c r="C26" t="s">
        <v>73</v>
      </c>
      <c r="D26">
        <v>335</v>
      </c>
      <c r="E26">
        <f t="shared" si="0"/>
        <v>315</v>
      </c>
      <c r="F26" s="3">
        <f t="shared" si="2"/>
        <v>0.94029850746268662</v>
      </c>
      <c r="G26">
        <v>293</v>
      </c>
      <c r="H26" s="3">
        <f t="shared" si="3"/>
        <v>0.93015873015873018</v>
      </c>
      <c r="I26">
        <v>22</v>
      </c>
      <c r="J26" s="3">
        <f t="shared" si="4"/>
        <v>7.5085324232081918E-2</v>
      </c>
      <c r="K26">
        <f t="shared" si="5"/>
        <v>20</v>
      </c>
      <c r="L26" s="3">
        <f t="shared" si="6"/>
        <v>6.8259385665529013E-2</v>
      </c>
      <c r="M26">
        <v>2147.8000000000002</v>
      </c>
      <c r="N26">
        <v>81.08</v>
      </c>
      <c r="O26">
        <v>4.92</v>
      </c>
      <c r="P26">
        <v>2074.08</v>
      </c>
      <c r="Q26">
        <v>1.04</v>
      </c>
      <c r="R26">
        <v>30.09</v>
      </c>
      <c r="S26">
        <v>1.99</v>
      </c>
      <c r="T26">
        <v>874.78</v>
      </c>
      <c r="U26">
        <v>1354.1</v>
      </c>
      <c r="V26">
        <v>191</v>
      </c>
      <c r="W26" s="3">
        <f t="shared" si="1"/>
        <v>0.65187713310580209</v>
      </c>
    </row>
    <row r="27" spans="1:23" x14ac:dyDescent="0.3">
      <c r="A27" t="s">
        <v>50</v>
      </c>
      <c r="B27" t="s">
        <v>51</v>
      </c>
      <c r="C27" t="s">
        <v>73</v>
      </c>
      <c r="D27">
        <v>428</v>
      </c>
      <c r="E27">
        <f t="shared" si="0"/>
        <v>371</v>
      </c>
      <c r="F27" s="3">
        <f t="shared" si="2"/>
        <v>0.86682242990654201</v>
      </c>
      <c r="G27">
        <v>360</v>
      </c>
      <c r="H27" s="3">
        <f t="shared" si="3"/>
        <v>0.9703504043126685</v>
      </c>
      <c r="I27">
        <v>11</v>
      </c>
      <c r="J27" s="3">
        <f t="shared" si="4"/>
        <v>3.0555555555555555E-2</v>
      </c>
      <c r="K27">
        <f t="shared" si="5"/>
        <v>57</v>
      </c>
      <c r="L27" s="3">
        <f t="shared" si="6"/>
        <v>0.15833333333333333</v>
      </c>
      <c r="M27">
        <v>2874.3</v>
      </c>
      <c r="N27">
        <v>155.66</v>
      </c>
      <c r="O27">
        <v>4.7699999999999996</v>
      </c>
      <c r="P27">
        <v>2482.41</v>
      </c>
      <c r="Q27">
        <v>1.1599999999999999</v>
      </c>
      <c r="R27">
        <v>27.51</v>
      </c>
      <c r="S27">
        <v>2.1800000000000002</v>
      </c>
      <c r="T27">
        <v>1141.1400000000001</v>
      </c>
      <c r="U27">
        <v>1888.83</v>
      </c>
      <c r="V27">
        <v>212</v>
      </c>
      <c r="W27" s="3">
        <f t="shared" si="1"/>
        <v>0.58888888888888891</v>
      </c>
    </row>
    <row r="28" spans="1:23" x14ac:dyDescent="0.3">
      <c r="A28" t="s">
        <v>52</v>
      </c>
      <c r="B28" t="s">
        <v>53</v>
      </c>
      <c r="C28" t="s">
        <v>73</v>
      </c>
      <c r="D28">
        <v>161</v>
      </c>
      <c r="E28">
        <f t="shared" si="0"/>
        <v>149</v>
      </c>
      <c r="F28" s="3">
        <f t="shared" si="2"/>
        <v>0.92546583850931674</v>
      </c>
      <c r="G28">
        <v>142</v>
      </c>
      <c r="H28" s="3">
        <f t="shared" si="3"/>
        <v>0.95302013422818788</v>
      </c>
      <c r="I28">
        <v>7</v>
      </c>
      <c r="J28" s="3">
        <f t="shared" si="4"/>
        <v>4.9295774647887321E-2</v>
      </c>
      <c r="K28">
        <f t="shared" si="5"/>
        <v>12</v>
      </c>
      <c r="L28" s="3">
        <f t="shared" si="6"/>
        <v>8.4507042253521125E-2</v>
      </c>
      <c r="M28">
        <v>748.01</v>
      </c>
      <c r="N28">
        <v>49.79</v>
      </c>
      <c r="O28">
        <v>4.99</v>
      </c>
      <c r="P28">
        <v>843.78</v>
      </c>
      <c r="Q28">
        <v>0.89</v>
      </c>
      <c r="R28">
        <v>52.92</v>
      </c>
      <c r="S28">
        <v>1.1299999999999999</v>
      </c>
      <c r="T28">
        <v>316.89</v>
      </c>
      <c r="U28">
        <v>480.9</v>
      </c>
      <c r="V28">
        <v>62</v>
      </c>
      <c r="W28" s="3">
        <f t="shared" si="1"/>
        <v>0.43661971830985913</v>
      </c>
    </row>
    <row r="29" spans="1:23" x14ac:dyDescent="0.3">
      <c r="A29" t="s">
        <v>54</v>
      </c>
      <c r="B29" t="s">
        <v>55</v>
      </c>
      <c r="C29" t="s">
        <v>73</v>
      </c>
      <c r="D29">
        <v>310</v>
      </c>
      <c r="E29">
        <f t="shared" si="0"/>
        <v>309</v>
      </c>
      <c r="F29" s="3">
        <f t="shared" si="2"/>
        <v>0.99677419354838714</v>
      </c>
      <c r="G29">
        <v>290</v>
      </c>
      <c r="H29" s="3">
        <f t="shared" si="3"/>
        <v>0.93851132686084138</v>
      </c>
      <c r="I29">
        <v>19</v>
      </c>
      <c r="J29" s="3">
        <f t="shared" si="4"/>
        <v>6.5517241379310351E-2</v>
      </c>
      <c r="K29">
        <f t="shared" si="5"/>
        <v>1</v>
      </c>
      <c r="L29" s="3">
        <f t="shared" si="6"/>
        <v>3.4482758620689655E-3</v>
      </c>
      <c r="M29">
        <v>3014.89</v>
      </c>
      <c r="N29">
        <v>251.89</v>
      </c>
      <c r="O29">
        <v>4.83</v>
      </c>
      <c r="P29">
        <v>2138.46</v>
      </c>
      <c r="Q29">
        <v>1.41</v>
      </c>
      <c r="R29">
        <v>31.94</v>
      </c>
      <c r="S29">
        <v>1.88</v>
      </c>
      <c r="T29">
        <v>1150.07</v>
      </c>
      <c r="U29">
        <v>2116.7199999999998</v>
      </c>
      <c r="V29">
        <v>240</v>
      </c>
      <c r="W29" s="3">
        <f t="shared" si="1"/>
        <v>0.82758620689655171</v>
      </c>
    </row>
    <row r="30" spans="1:23" x14ac:dyDescent="0.3">
      <c r="A30" t="s">
        <v>56</v>
      </c>
      <c r="B30" t="s">
        <v>57</v>
      </c>
      <c r="C30" t="s">
        <v>73</v>
      </c>
      <c r="D30">
        <v>302</v>
      </c>
      <c r="E30">
        <f t="shared" si="0"/>
        <v>277</v>
      </c>
      <c r="F30" s="3">
        <f t="shared" si="2"/>
        <v>0.91721854304635764</v>
      </c>
      <c r="G30">
        <v>261</v>
      </c>
      <c r="H30" s="3">
        <f t="shared" si="3"/>
        <v>0.9422382671480144</v>
      </c>
      <c r="I30">
        <v>16</v>
      </c>
      <c r="J30" s="3">
        <f t="shared" si="4"/>
        <v>6.1302681992337162E-2</v>
      </c>
      <c r="K30">
        <f t="shared" si="5"/>
        <v>25</v>
      </c>
      <c r="L30" s="3">
        <f t="shared" si="6"/>
        <v>9.5785440613026823E-2</v>
      </c>
      <c r="M30">
        <v>1565.43</v>
      </c>
      <c r="N30">
        <v>87.96</v>
      </c>
      <c r="O30">
        <v>4.92</v>
      </c>
      <c r="P30">
        <v>1235.19</v>
      </c>
      <c r="Q30">
        <v>1.27</v>
      </c>
      <c r="R30">
        <v>33.119999999999997</v>
      </c>
      <c r="S30">
        <v>1.81</v>
      </c>
      <c r="T30">
        <v>609.73</v>
      </c>
      <c r="U30">
        <v>1043.6600000000001</v>
      </c>
      <c r="V30">
        <v>185</v>
      </c>
      <c r="W30" s="3">
        <f t="shared" si="1"/>
        <v>0.70881226053639845</v>
      </c>
    </row>
    <row r="31" spans="1:23" x14ac:dyDescent="0.3">
      <c r="A31" t="s">
        <v>59</v>
      </c>
      <c r="B31" t="s">
        <v>60</v>
      </c>
      <c r="C31" t="s">
        <v>73</v>
      </c>
      <c r="D31">
        <v>269</v>
      </c>
      <c r="E31">
        <f t="shared" si="0"/>
        <v>242</v>
      </c>
      <c r="F31" s="3">
        <f t="shared" si="2"/>
        <v>0.8996282527881041</v>
      </c>
      <c r="G31">
        <v>235</v>
      </c>
      <c r="H31" s="3">
        <f t="shared" si="3"/>
        <v>0.97107438016528924</v>
      </c>
      <c r="I31">
        <v>7</v>
      </c>
      <c r="J31" s="3">
        <f t="shared" si="4"/>
        <v>2.9787234042553193E-2</v>
      </c>
      <c r="K31">
        <f t="shared" si="5"/>
        <v>27</v>
      </c>
      <c r="L31" s="3">
        <f t="shared" si="6"/>
        <v>0.1148936170212766</v>
      </c>
      <c r="M31">
        <v>2566.2600000000002</v>
      </c>
      <c r="N31">
        <v>118.1</v>
      </c>
      <c r="O31">
        <v>4.66</v>
      </c>
      <c r="P31">
        <v>2060.21</v>
      </c>
      <c r="Q31">
        <v>1.25</v>
      </c>
      <c r="R31">
        <v>41.99</v>
      </c>
      <c r="S31">
        <v>1.43</v>
      </c>
      <c r="T31">
        <v>1003.11</v>
      </c>
      <c r="U31">
        <v>1681.25</v>
      </c>
      <c r="V31">
        <v>147</v>
      </c>
      <c r="W31" s="3">
        <f t="shared" si="1"/>
        <v>0.62553191489361704</v>
      </c>
    </row>
    <row r="32" spans="1:23" x14ac:dyDescent="0.3">
      <c r="A32" t="s">
        <v>61</v>
      </c>
      <c r="B32" t="s">
        <v>62</v>
      </c>
      <c r="C32" t="s">
        <v>73</v>
      </c>
      <c r="D32">
        <v>337</v>
      </c>
      <c r="E32">
        <f t="shared" si="0"/>
        <v>271</v>
      </c>
      <c r="F32" s="3">
        <f t="shared" si="2"/>
        <v>0.80415430267062316</v>
      </c>
      <c r="G32">
        <v>271</v>
      </c>
      <c r="H32" s="3">
        <f t="shared" si="3"/>
        <v>1</v>
      </c>
      <c r="I32">
        <v>0</v>
      </c>
      <c r="J32" s="3">
        <f t="shared" si="4"/>
        <v>0</v>
      </c>
      <c r="K32">
        <f t="shared" si="5"/>
        <v>66</v>
      </c>
      <c r="L32" s="3">
        <f t="shared" si="6"/>
        <v>0.24354243542435425</v>
      </c>
      <c r="M32">
        <v>2188.38</v>
      </c>
      <c r="N32">
        <v>149.41999999999999</v>
      </c>
      <c r="O32">
        <v>4.97</v>
      </c>
      <c r="P32">
        <v>1885.23</v>
      </c>
      <c r="Q32">
        <v>1.1599999999999999</v>
      </c>
      <c r="R32">
        <v>30.15</v>
      </c>
      <c r="S32">
        <v>1.99</v>
      </c>
      <c r="T32">
        <v>868.33</v>
      </c>
      <c r="U32">
        <v>1469.46</v>
      </c>
      <c r="V32">
        <v>101</v>
      </c>
      <c r="W32" s="3">
        <f t="shared" si="1"/>
        <v>0.37269372693726938</v>
      </c>
    </row>
    <row r="33" spans="1:23" x14ac:dyDescent="0.3">
      <c r="A33" t="s">
        <v>63</v>
      </c>
      <c r="B33" t="s">
        <v>64</v>
      </c>
      <c r="C33" t="s">
        <v>73</v>
      </c>
      <c r="D33">
        <v>240</v>
      </c>
      <c r="E33">
        <f t="shared" si="0"/>
        <v>200</v>
      </c>
      <c r="F33" s="3">
        <f t="shared" si="2"/>
        <v>0.83333333333333337</v>
      </c>
      <c r="G33">
        <v>189</v>
      </c>
      <c r="H33" s="3">
        <f t="shared" si="3"/>
        <v>0.94499999999999995</v>
      </c>
      <c r="I33">
        <v>11</v>
      </c>
      <c r="J33" s="3">
        <f t="shared" si="4"/>
        <v>5.8201058201058198E-2</v>
      </c>
      <c r="K33">
        <f t="shared" si="5"/>
        <v>40</v>
      </c>
      <c r="L33" s="3">
        <f t="shared" si="6"/>
        <v>0.21164021164021163</v>
      </c>
      <c r="M33">
        <v>1356.83</v>
      </c>
      <c r="N33">
        <v>110.4</v>
      </c>
      <c r="O33">
        <v>4.8099999999999996</v>
      </c>
      <c r="P33">
        <v>1066.6400000000001</v>
      </c>
      <c r="Q33">
        <v>1.27</v>
      </c>
      <c r="R33">
        <v>42.03</v>
      </c>
      <c r="S33">
        <v>1.43</v>
      </c>
      <c r="T33">
        <v>528.08000000000004</v>
      </c>
      <c r="U33">
        <v>939.15</v>
      </c>
      <c r="V33">
        <v>122</v>
      </c>
      <c r="W33" s="3">
        <f t="shared" si="1"/>
        <v>0.64550264550264547</v>
      </c>
    </row>
    <row r="34" spans="1:23" x14ac:dyDescent="0.3">
      <c r="A34" t="s">
        <v>65</v>
      </c>
      <c r="B34" t="s">
        <v>66</v>
      </c>
      <c r="C34" t="s">
        <v>73</v>
      </c>
      <c r="D34">
        <v>342</v>
      </c>
      <c r="E34">
        <f t="shared" si="0"/>
        <v>318</v>
      </c>
      <c r="F34" s="3">
        <f t="shared" si="2"/>
        <v>0.92982456140350878</v>
      </c>
      <c r="G34">
        <v>300</v>
      </c>
      <c r="H34" s="3">
        <f t="shared" si="3"/>
        <v>0.94339622641509435</v>
      </c>
      <c r="I34">
        <v>18</v>
      </c>
      <c r="J34" s="3">
        <f t="shared" si="4"/>
        <v>0.06</v>
      </c>
      <c r="K34">
        <f t="shared" si="5"/>
        <v>24</v>
      </c>
      <c r="L34" s="3">
        <f t="shared" si="6"/>
        <v>0.08</v>
      </c>
      <c r="M34">
        <v>1667.07</v>
      </c>
      <c r="N34">
        <v>149.41999999999999</v>
      </c>
      <c r="O34">
        <v>4.6900000000000004</v>
      </c>
      <c r="P34">
        <v>1473.66</v>
      </c>
      <c r="Q34">
        <v>1.1299999999999999</v>
      </c>
      <c r="R34">
        <v>32.29</v>
      </c>
      <c r="S34">
        <v>1.86</v>
      </c>
      <c r="T34">
        <v>665.26</v>
      </c>
      <c r="U34">
        <v>1151.23</v>
      </c>
      <c r="V34">
        <v>156</v>
      </c>
      <c r="W34" s="3">
        <f t="shared" ref="W34:W61" si="7">+V34/G34</f>
        <v>0.52</v>
      </c>
    </row>
    <row r="35" spans="1:23" x14ac:dyDescent="0.3">
      <c r="A35" t="s">
        <v>67</v>
      </c>
      <c r="B35" t="s">
        <v>68</v>
      </c>
      <c r="C35" t="s">
        <v>73</v>
      </c>
      <c r="D35">
        <v>305</v>
      </c>
      <c r="E35">
        <f t="shared" si="0"/>
        <v>256</v>
      </c>
      <c r="F35" s="3">
        <f t="shared" si="2"/>
        <v>0.83934426229508197</v>
      </c>
      <c r="G35">
        <v>242</v>
      </c>
      <c r="H35" s="3">
        <f t="shared" si="3"/>
        <v>0.9453125</v>
      </c>
      <c r="I35">
        <v>14</v>
      </c>
      <c r="J35" s="3">
        <f t="shared" si="4"/>
        <v>5.7851239669421489E-2</v>
      </c>
      <c r="K35">
        <f t="shared" si="5"/>
        <v>49</v>
      </c>
      <c r="L35" s="3">
        <f t="shared" si="6"/>
        <v>0.2024793388429752</v>
      </c>
      <c r="M35">
        <v>2659.7</v>
      </c>
      <c r="N35">
        <v>148.66999999999999</v>
      </c>
      <c r="O35">
        <v>4.54</v>
      </c>
      <c r="P35">
        <v>1774.14</v>
      </c>
      <c r="Q35">
        <v>1.5</v>
      </c>
      <c r="R35">
        <v>31.55</v>
      </c>
      <c r="S35">
        <v>1.9</v>
      </c>
      <c r="T35">
        <v>1003.25</v>
      </c>
      <c r="U35">
        <v>1805.12</v>
      </c>
      <c r="V35">
        <v>197</v>
      </c>
      <c r="W35" s="3">
        <f t="shared" si="7"/>
        <v>0.81404958677685946</v>
      </c>
    </row>
    <row r="36" spans="1:23" x14ac:dyDescent="0.3">
      <c r="A36" t="s">
        <v>69</v>
      </c>
      <c r="B36" t="s">
        <v>70</v>
      </c>
      <c r="C36" t="s">
        <v>73</v>
      </c>
      <c r="D36">
        <v>296</v>
      </c>
      <c r="E36">
        <f t="shared" si="0"/>
        <v>291</v>
      </c>
      <c r="F36" s="3">
        <f t="shared" si="2"/>
        <v>0.98310810810810811</v>
      </c>
      <c r="G36">
        <v>289</v>
      </c>
      <c r="H36" s="3">
        <f t="shared" si="3"/>
        <v>0.99312714776632305</v>
      </c>
      <c r="I36">
        <v>2</v>
      </c>
      <c r="J36" s="3">
        <f t="shared" si="4"/>
        <v>6.920415224913495E-3</v>
      </c>
      <c r="K36">
        <f t="shared" si="5"/>
        <v>5</v>
      </c>
      <c r="L36" s="3">
        <f t="shared" si="6"/>
        <v>1.7301038062283738E-2</v>
      </c>
      <c r="M36">
        <v>1865.55</v>
      </c>
      <c r="N36">
        <v>131.49</v>
      </c>
      <c r="O36">
        <v>4.8099999999999996</v>
      </c>
      <c r="P36">
        <v>1534.24</v>
      </c>
      <c r="Q36">
        <v>1.22</v>
      </c>
      <c r="R36">
        <v>26.2</v>
      </c>
      <c r="S36">
        <v>2.29</v>
      </c>
      <c r="T36">
        <v>732.9</v>
      </c>
      <c r="U36">
        <v>1264.1500000000001</v>
      </c>
      <c r="V36">
        <v>130</v>
      </c>
      <c r="W36" s="3">
        <f t="shared" si="7"/>
        <v>0.44982698961937717</v>
      </c>
    </row>
    <row r="37" spans="1:23" x14ac:dyDescent="0.3">
      <c r="A37" t="s">
        <v>71</v>
      </c>
      <c r="B37" t="s">
        <v>72</v>
      </c>
      <c r="C37" t="s">
        <v>73</v>
      </c>
      <c r="D37">
        <v>202</v>
      </c>
      <c r="E37">
        <f t="shared" si="0"/>
        <v>177</v>
      </c>
      <c r="F37" s="3">
        <f t="shared" si="2"/>
        <v>0.87623762376237624</v>
      </c>
      <c r="G37">
        <v>170</v>
      </c>
      <c r="H37" s="3">
        <f t="shared" si="3"/>
        <v>0.96045197740112997</v>
      </c>
      <c r="I37">
        <v>7</v>
      </c>
      <c r="J37" s="3">
        <f t="shared" si="4"/>
        <v>4.1176470588235294E-2</v>
      </c>
      <c r="K37">
        <f t="shared" si="5"/>
        <v>25</v>
      </c>
      <c r="L37" s="3">
        <f t="shared" si="6"/>
        <v>0.14705882352941177</v>
      </c>
      <c r="M37">
        <v>1538.32</v>
      </c>
      <c r="N37">
        <v>108.61</v>
      </c>
      <c r="O37">
        <v>4.7</v>
      </c>
      <c r="P37">
        <v>1298.83</v>
      </c>
      <c r="Q37">
        <v>1.18</v>
      </c>
      <c r="R37">
        <v>34.15</v>
      </c>
      <c r="S37">
        <v>1.76</v>
      </c>
      <c r="T37">
        <v>607.74</v>
      </c>
      <c r="U37">
        <v>1039.19</v>
      </c>
      <c r="V37">
        <v>102</v>
      </c>
      <c r="W37" s="3">
        <f t="shared" si="7"/>
        <v>0.6</v>
      </c>
    </row>
    <row r="38" spans="1:23" x14ac:dyDescent="0.3">
      <c r="A38" t="s">
        <v>74</v>
      </c>
      <c r="B38" t="s">
        <v>75</v>
      </c>
      <c r="C38" t="s">
        <v>73</v>
      </c>
      <c r="D38">
        <v>300</v>
      </c>
      <c r="E38">
        <f t="shared" si="0"/>
        <v>260</v>
      </c>
      <c r="F38" s="3">
        <f t="shared" si="2"/>
        <v>0.8666666666666667</v>
      </c>
      <c r="G38">
        <v>251</v>
      </c>
      <c r="H38" s="3">
        <f t="shared" si="3"/>
        <v>0.9653846153846154</v>
      </c>
      <c r="I38">
        <v>9</v>
      </c>
      <c r="J38" s="3">
        <f t="shared" si="4"/>
        <v>3.5856573705179286E-2</v>
      </c>
      <c r="K38">
        <f t="shared" si="5"/>
        <v>40</v>
      </c>
      <c r="L38" s="3">
        <f t="shared" si="6"/>
        <v>0.15936254980079681</v>
      </c>
      <c r="M38">
        <v>1654.27</v>
      </c>
      <c r="N38">
        <v>56.36</v>
      </c>
      <c r="O38">
        <v>4.5999999999999996</v>
      </c>
      <c r="P38">
        <v>1943.81</v>
      </c>
      <c r="Q38">
        <v>0.85</v>
      </c>
      <c r="R38">
        <v>33.67</v>
      </c>
      <c r="S38">
        <v>1.78</v>
      </c>
      <c r="T38">
        <v>708.66</v>
      </c>
      <c r="U38">
        <v>1001.97</v>
      </c>
      <c r="V38">
        <v>85</v>
      </c>
      <c r="W38" s="3">
        <f t="shared" si="7"/>
        <v>0.3386454183266932</v>
      </c>
    </row>
    <row r="39" spans="1:23" x14ac:dyDescent="0.3">
      <c r="A39" t="s">
        <v>76</v>
      </c>
      <c r="B39" t="s">
        <v>77</v>
      </c>
      <c r="C39" t="s">
        <v>73</v>
      </c>
      <c r="D39">
        <v>274</v>
      </c>
      <c r="E39">
        <f t="shared" si="0"/>
        <v>251</v>
      </c>
      <c r="F39" s="3">
        <f t="shared" si="2"/>
        <v>0.91605839416058399</v>
      </c>
      <c r="G39">
        <v>235</v>
      </c>
      <c r="H39" s="3">
        <f t="shared" si="3"/>
        <v>0.93625498007968122</v>
      </c>
      <c r="I39">
        <v>16</v>
      </c>
      <c r="J39" s="3">
        <f t="shared" si="4"/>
        <v>6.8085106382978725E-2</v>
      </c>
      <c r="K39">
        <f t="shared" si="5"/>
        <v>23</v>
      </c>
      <c r="L39" s="3">
        <f t="shared" si="6"/>
        <v>9.7872340425531917E-2</v>
      </c>
      <c r="M39">
        <v>2033.79</v>
      </c>
      <c r="N39">
        <v>125.77</v>
      </c>
      <c r="O39">
        <v>4.68</v>
      </c>
      <c r="P39">
        <v>1503.13</v>
      </c>
      <c r="Q39">
        <v>1.35</v>
      </c>
      <c r="R39">
        <v>33.06</v>
      </c>
      <c r="S39">
        <v>1.81</v>
      </c>
      <c r="T39">
        <v>781.92</v>
      </c>
      <c r="U39">
        <v>1377.65</v>
      </c>
      <c r="V39">
        <v>129</v>
      </c>
      <c r="W39" s="3">
        <f t="shared" si="7"/>
        <v>0.54893617021276597</v>
      </c>
    </row>
    <row r="40" spans="1:23" x14ac:dyDescent="0.3">
      <c r="A40" t="s">
        <v>78</v>
      </c>
      <c r="B40" t="s">
        <v>79</v>
      </c>
      <c r="C40" t="s">
        <v>73</v>
      </c>
      <c r="D40">
        <v>211</v>
      </c>
      <c r="E40">
        <f t="shared" si="0"/>
        <v>175</v>
      </c>
      <c r="F40" s="3">
        <f t="shared" si="2"/>
        <v>0.82938388625592419</v>
      </c>
      <c r="G40">
        <v>173</v>
      </c>
      <c r="H40" s="3">
        <f t="shared" si="3"/>
        <v>0.98857142857142855</v>
      </c>
      <c r="I40">
        <v>2</v>
      </c>
      <c r="J40" s="3">
        <f t="shared" si="4"/>
        <v>1.1560693641618497E-2</v>
      </c>
      <c r="K40">
        <f t="shared" si="5"/>
        <v>36</v>
      </c>
      <c r="L40" s="3">
        <f t="shared" si="6"/>
        <v>0.20809248554913296</v>
      </c>
      <c r="M40">
        <v>1218.98</v>
      </c>
      <c r="N40">
        <v>84.71</v>
      </c>
      <c r="O40">
        <v>4.76</v>
      </c>
      <c r="P40">
        <v>1226.44</v>
      </c>
      <c r="Q40">
        <v>0.99</v>
      </c>
      <c r="R40">
        <v>33.5</v>
      </c>
      <c r="S40">
        <v>1.79</v>
      </c>
      <c r="T40">
        <v>501.45</v>
      </c>
      <c r="U40">
        <v>802.24</v>
      </c>
      <c r="V40">
        <v>69</v>
      </c>
      <c r="W40" s="3">
        <f t="shared" si="7"/>
        <v>0.39884393063583817</v>
      </c>
    </row>
    <row r="41" spans="1:23" x14ac:dyDescent="0.3">
      <c r="A41" t="s">
        <v>34</v>
      </c>
      <c r="B41" t="s">
        <v>35</v>
      </c>
      <c r="C41" t="s">
        <v>81</v>
      </c>
      <c r="D41">
        <v>294</v>
      </c>
      <c r="E41">
        <f t="shared" si="0"/>
        <v>289</v>
      </c>
      <c r="F41" s="3">
        <f t="shared" si="2"/>
        <v>0.98299319727891155</v>
      </c>
      <c r="G41">
        <v>276</v>
      </c>
      <c r="H41" s="3">
        <f t="shared" si="3"/>
        <v>0.95501730103806226</v>
      </c>
      <c r="I41">
        <v>13</v>
      </c>
      <c r="J41" s="3">
        <f t="shared" si="4"/>
        <v>4.710144927536232E-2</v>
      </c>
      <c r="K41">
        <f t="shared" si="5"/>
        <v>5</v>
      </c>
      <c r="L41" s="3">
        <f t="shared" si="6"/>
        <v>1.8115942028985508E-2</v>
      </c>
      <c r="M41">
        <v>2057.58</v>
      </c>
      <c r="N41">
        <v>138.35</v>
      </c>
      <c r="O41">
        <v>4.9400000000000004</v>
      </c>
      <c r="P41">
        <v>1715.65</v>
      </c>
      <c r="Q41">
        <v>1.2</v>
      </c>
      <c r="R41">
        <v>34.44</v>
      </c>
      <c r="S41">
        <v>1.74</v>
      </c>
      <c r="T41">
        <v>810.7</v>
      </c>
      <c r="U41">
        <v>1385.23</v>
      </c>
      <c r="V41">
        <v>160</v>
      </c>
      <c r="W41" s="3">
        <f t="shared" si="7"/>
        <v>0.57971014492753625</v>
      </c>
    </row>
    <row r="42" spans="1:23" x14ac:dyDescent="0.3">
      <c r="A42" t="s">
        <v>38</v>
      </c>
      <c r="B42" t="s">
        <v>39</v>
      </c>
      <c r="C42" t="s">
        <v>81</v>
      </c>
      <c r="D42">
        <v>246</v>
      </c>
      <c r="E42">
        <f t="shared" si="0"/>
        <v>205</v>
      </c>
      <c r="F42" s="3">
        <f t="shared" si="2"/>
        <v>0.83333333333333337</v>
      </c>
      <c r="G42">
        <v>198</v>
      </c>
      <c r="H42" s="3">
        <f t="shared" si="3"/>
        <v>0.96585365853658534</v>
      </c>
      <c r="I42">
        <v>7</v>
      </c>
      <c r="J42" s="3">
        <f t="shared" si="4"/>
        <v>3.5353535353535352E-2</v>
      </c>
      <c r="K42">
        <f t="shared" si="5"/>
        <v>41</v>
      </c>
      <c r="L42" s="3">
        <f t="shared" si="6"/>
        <v>0.20707070707070707</v>
      </c>
      <c r="M42">
        <v>2006.13</v>
      </c>
      <c r="N42">
        <v>203.7</v>
      </c>
      <c r="O42">
        <v>4.79</v>
      </c>
      <c r="P42">
        <v>1390.59</v>
      </c>
      <c r="Q42">
        <v>1.44</v>
      </c>
      <c r="R42">
        <v>33.340000000000003</v>
      </c>
      <c r="S42">
        <v>1.8</v>
      </c>
      <c r="T42">
        <v>762</v>
      </c>
      <c r="U42">
        <v>1447.83</v>
      </c>
      <c r="V42">
        <v>127</v>
      </c>
      <c r="W42" s="3">
        <f t="shared" si="7"/>
        <v>0.64141414141414144</v>
      </c>
    </row>
    <row r="43" spans="1:23" x14ac:dyDescent="0.3">
      <c r="A43" t="s">
        <v>40</v>
      </c>
      <c r="B43" t="s">
        <v>41</v>
      </c>
      <c r="C43" t="s">
        <v>81</v>
      </c>
      <c r="D43">
        <v>376</v>
      </c>
      <c r="E43">
        <f t="shared" si="0"/>
        <v>335</v>
      </c>
      <c r="F43" s="3">
        <f t="shared" si="2"/>
        <v>0.89095744680851063</v>
      </c>
      <c r="G43">
        <v>327</v>
      </c>
      <c r="H43" s="3">
        <f t="shared" si="3"/>
        <v>0.9761194029850746</v>
      </c>
      <c r="I43">
        <v>8</v>
      </c>
      <c r="J43" s="3">
        <f t="shared" si="4"/>
        <v>2.4464831804281346E-2</v>
      </c>
      <c r="K43">
        <f t="shared" si="5"/>
        <v>41</v>
      </c>
      <c r="L43" s="3">
        <f t="shared" si="6"/>
        <v>0.12538226299694188</v>
      </c>
      <c r="M43">
        <v>1129.21</v>
      </c>
      <c r="N43">
        <v>42.52</v>
      </c>
      <c r="O43">
        <v>4.72</v>
      </c>
      <c r="P43">
        <v>1345.82</v>
      </c>
      <c r="Q43">
        <v>0.84</v>
      </c>
      <c r="R43">
        <v>29.96</v>
      </c>
      <c r="S43">
        <v>2</v>
      </c>
      <c r="T43">
        <v>485.65</v>
      </c>
      <c r="U43">
        <v>686.08</v>
      </c>
      <c r="V43">
        <v>191</v>
      </c>
      <c r="W43" s="3">
        <f t="shared" si="7"/>
        <v>0.58409785932721714</v>
      </c>
    </row>
    <row r="44" spans="1:23" x14ac:dyDescent="0.3">
      <c r="A44" t="s">
        <v>42</v>
      </c>
      <c r="B44" t="s">
        <v>43</v>
      </c>
      <c r="C44" t="s">
        <v>81</v>
      </c>
      <c r="D44">
        <v>287</v>
      </c>
      <c r="E44">
        <f t="shared" si="0"/>
        <v>251</v>
      </c>
      <c r="F44" s="3">
        <f t="shared" si="2"/>
        <v>0.87456445993031362</v>
      </c>
      <c r="G44">
        <v>243</v>
      </c>
      <c r="H44" s="3">
        <f t="shared" si="3"/>
        <v>0.96812749003984067</v>
      </c>
      <c r="I44">
        <v>8</v>
      </c>
      <c r="J44" s="3">
        <f t="shared" si="4"/>
        <v>3.292181069958848E-2</v>
      </c>
      <c r="K44">
        <f t="shared" si="5"/>
        <v>36</v>
      </c>
      <c r="L44" s="3">
        <f t="shared" si="6"/>
        <v>0.14814814814814814</v>
      </c>
      <c r="M44">
        <v>2047.08</v>
      </c>
      <c r="N44">
        <v>108.94</v>
      </c>
      <c r="O44">
        <v>4.91</v>
      </c>
      <c r="P44">
        <v>1647.05</v>
      </c>
      <c r="Q44">
        <v>1.24</v>
      </c>
      <c r="R44">
        <v>37.19</v>
      </c>
      <c r="S44">
        <v>1.61</v>
      </c>
      <c r="T44">
        <v>800.54</v>
      </c>
      <c r="U44">
        <v>1355.48</v>
      </c>
      <c r="V44">
        <v>117</v>
      </c>
      <c r="W44" s="3">
        <f t="shared" si="7"/>
        <v>0.48148148148148145</v>
      </c>
    </row>
    <row r="45" spans="1:23" x14ac:dyDescent="0.3">
      <c r="A45" t="s">
        <v>44</v>
      </c>
      <c r="B45" t="s">
        <v>45</v>
      </c>
      <c r="C45" t="s">
        <v>81</v>
      </c>
      <c r="D45">
        <v>277</v>
      </c>
      <c r="E45">
        <f t="shared" si="0"/>
        <v>230</v>
      </c>
      <c r="F45" s="3">
        <f t="shared" si="2"/>
        <v>0.83032490974729245</v>
      </c>
      <c r="G45">
        <v>219</v>
      </c>
      <c r="H45" s="3">
        <f t="shared" si="3"/>
        <v>0.95217391304347831</v>
      </c>
      <c r="I45">
        <v>11</v>
      </c>
      <c r="J45" s="3">
        <f t="shared" si="4"/>
        <v>5.0228310502283102E-2</v>
      </c>
      <c r="K45">
        <f t="shared" si="5"/>
        <v>47</v>
      </c>
      <c r="L45" s="3">
        <f t="shared" si="6"/>
        <v>0.21461187214611871</v>
      </c>
      <c r="M45">
        <v>1579.66</v>
      </c>
      <c r="N45">
        <v>70.150000000000006</v>
      </c>
      <c r="O45">
        <v>4.83</v>
      </c>
      <c r="P45">
        <v>1404.85</v>
      </c>
      <c r="Q45">
        <v>1.1200000000000001</v>
      </c>
      <c r="R45">
        <v>30.54</v>
      </c>
      <c r="S45">
        <v>1.97</v>
      </c>
      <c r="T45">
        <v>631.23</v>
      </c>
      <c r="U45">
        <v>1018.58</v>
      </c>
      <c r="V45">
        <v>113</v>
      </c>
      <c r="W45" s="3">
        <f t="shared" si="7"/>
        <v>0.51598173515981738</v>
      </c>
    </row>
    <row r="46" spans="1:23" x14ac:dyDescent="0.3">
      <c r="A46" t="s">
        <v>46</v>
      </c>
      <c r="B46" t="s">
        <v>47</v>
      </c>
      <c r="C46" t="s">
        <v>81</v>
      </c>
      <c r="D46">
        <v>308</v>
      </c>
      <c r="E46">
        <f t="shared" si="0"/>
        <v>282</v>
      </c>
      <c r="F46" s="3">
        <f t="shared" si="2"/>
        <v>0.91558441558441561</v>
      </c>
      <c r="G46">
        <v>273</v>
      </c>
      <c r="H46" s="3">
        <f t="shared" si="3"/>
        <v>0.96808510638297873</v>
      </c>
      <c r="I46">
        <v>9</v>
      </c>
      <c r="J46" s="3">
        <f t="shared" si="4"/>
        <v>3.2967032967032968E-2</v>
      </c>
      <c r="K46">
        <f t="shared" si="5"/>
        <v>26</v>
      </c>
      <c r="L46" s="3">
        <f t="shared" si="6"/>
        <v>9.5238095238095233E-2</v>
      </c>
      <c r="M46">
        <v>1888.53</v>
      </c>
      <c r="N46">
        <v>100.64</v>
      </c>
      <c r="O46">
        <v>4.54</v>
      </c>
      <c r="P46">
        <v>2157.61</v>
      </c>
      <c r="Q46">
        <v>0.88</v>
      </c>
      <c r="R46">
        <v>29.8</v>
      </c>
      <c r="S46">
        <v>2.0099999999999998</v>
      </c>
      <c r="T46">
        <v>802.82</v>
      </c>
      <c r="U46">
        <v>1186.3399999999999</v>
      </c>
      <c r="V46">
        <v>120</v>
      </c>
      <c r="W46" s="3">
        <f t="shared" si="7"/>
        <v>0.43956043956043955</v>
      </c>
    </row>
    <row r="47" spans="1:23" x14ac:dyDescent="0.3">
      <c r="A47" t="s">
        <v>48</v>
      </c>
      <c r="B47" t="s">
        <v>49</v>
      </c>
      <c r="C47" t="s">
        <v>81</v>
      </c>
      <c r="D47">
        <v>254</v>
      </c>
      <c r="E47">
        <f t="shared" si="0"/>
        <v>253</v>
      </c>
      <c r="F47" s="3">
        <f t="shared" si="2"/>
        <v>0.99606299212598426</v>
      </c>
      <c r="G47">
        <v>246</v>
      </c>
      <c r="H47" s="3">
        <f t="shared" si="3"/>
        <v>0.97233201581027673</v>
      </c>
      <c r="I47">
        <v>7</v>
      </c>
      <c r="J47" s="3">
        <f t="shared" si="4"/>
        <v>2.8455284552845527E-2</v>
      </c>
      <c r="K47">
        <f t="shared" si="5"/>
        <v>1</v>
      </c>
      <c r="L47" s="3">
        <f t="shared" si="6"/>
        <v>4.0650406504065045E-3</v>
      </c>
      <c r="M47">
        <v>3028.52</v>
      </c>
      <c r="N47">
        <v>147.82</v>
      </c>
      <c r="O47">
        <v>4.84</v>
      </c>
      <c r="P47">
        <v>2492.13</v>
      </c>
      <c r="Q47">
        <v>1.22</v>
      </c>
      <c r="R47">
        <v>35.68</v>
      </c>
      <c r="S47">
        <v>1.68</v>
      </c>
      <c r="T47">
        <v>1189.92</v>
      </c>
      <c r="U47">
        <v>1986.42</v>
      </c>
      <c r="V47">
        <v>106</v>
      </c>
      <c r="W47" s="3">
        <f t="shared" si="7"/>
        <v>0.43089430894308944</v>
      </c>
    </row>
    <row r="48" spans="1:23" x14ac:dyDescent="0.3">
      <c r="A48" t="s">
        <v>50</v>
      </c>
      <c r="B48" t="s">
        <v>51</v>
      </c>
      <c r="C48" t="s">
        <v>81</v>
      </c>
      <c r="D48">
        <v>306</v>
      </c>
      <c r="E48">
        <f t="shared" si="0"/>
        <v>265</v>
      </c>
      <c r="F48" s="3">
        <f t="shared" si="2"/>
        <v>0.86601307189542487</v>
      </c>
      <c r="G48">
        <v>252</v>
      </c>
      <c r="H48" s="3">
        <f t="shared" si="3"/>
        <v>0.95094339622641511</v>
      </c>
      <c r="I48">
        <v>13</v>
      </c>
      <c r="J48" s="3">
        <f t="shared" si="4"/>
        <v>5.1587301587301584E-2</v>
      </c>
      <c r="K48">
        <f t="shared" si="5"/>
        <v>41</v>
      </c>
      <c r="L48" s="3">
        <f t="shared" si="6"/>
        <v>0.1626984126984127</v>
      </c>
      <c r="M48">
        <v>1770.02</v>
      </c>
      <c r="N48">
        <v>163.87</v>
      </c>
      <c r="O48">
        <v>4.66</v>
      </c>
      <c r="P48">
        <v>1377.8</v>
      </c>
      <c r="Q48">
        <v>1.28</v>
      </c>
      <c r="R48">
        <v>31.98</v>
      </c>
      <c r="S48">
        <v>1.87</v>
      </c>
      <c r="T48">
        <v>687.52</v>
      </c>
      <c r="U48">
        <v>1246.3599999999999</v>
      </c>
      <c r="V48">
        <v>129</v>
      </c>
      <c r="W48" s="3">
        <f t="shared" si="7"/>
        <v>0.51190476190476186</v>
      </c>
    </row>
    <row r="49" spans="1:23" x14ac:dyDescent="0.3">
      <c r="A49" t="s">
        <v>52</v>
      </c>
      <c r="B49" t="s">
        <v>53</v>
      </c>
      <c r="C49" t="s">
        <v>81</v>
      </c>
      <c r="D49">
        <v>412</v>
      </c>
      <c r="E49">
        <f t="shared" si="0"/>
        <v>385</v>
      </c>
      <c r="F49" s="3">
        <f t="shared" si="2"/>
        <v>0.93446601941747576</v>
      </c>
      <c r="G49">
        <v>369</v>
      </c>
      <c r="H49" s="3">
        <f t="shared" si="3"/>
        <v>0.95844155844155843</v>
      </c>
      <c r="I49">
        <v>16</v>
      </c>
      <c r="J49" s="3">
        <f t="shared" si="4"/>
        <v>4.3360433604336043E-2</v>
      </c>
      <c r="K49">
        <f t="shared" si="5"/>
        <v>27</v>
      </c>
      <c r="L49" s="3">
        <f t="shared" si="6"/>
        <v>7.3170731707317069E-2</v>
      </c>
      <c r="M49">
        <v>3519.14</v>
      </c>
      <c r="N49">
        <v>185.69</v>
      </c>
      <c r="O49">
        <v>4.67</v>
      </c>
      <c r="P49">
        <v>2541.4299999999998</v>
      </c>
      <c r="Q49">
        <v>1.38</v>
      </c>
      <c r="R49">
        <v>25.86</v>
      </c>
      <c r="S49">
        <v>2.3199999999999998</v>
      </c>
      <c r="T49">
        <v>1346.98</v>
      </c>
      <c r="U49">
        <v>2357.84</v>
      </c>
      <c r="V49">
        <v>209</v>
      </c>
      <c r="W49" s="3">
        <f t="shared" si="7"/>
        <v>0.56639566395663954</v>
      </c>
    </row>
    <row r="50" spans="1:23" x14ac:dyDescent="0.3">
      <c r="A50" t="s">
        <v>54</v>
      </c>
      <c r="B50" t="s">
        <v>55</v>
      </c>
      <c r="C50" t="s">
        <v>81</v>
      </c>
      <c r="D50">
        <v>377</v>
      </c>
      <c r="E50">
        <f t="shared" si="0"/>
        <v>340</v>
      </c>
      <c r="F50" s="3">
        <f t="shared" si="2"/>
        <v>0.90185676392572944</v>
      </c>
      <c r="G50">
        <v>340</v>
      </c>
      <c r="H50" s="3">
        <f t="shared" si="3"/>
        <v>1</v>
      </c>
      <c r="I50">
        <v>0</v>
      </c>
      <c r="J50" s="3">
        <f t="shared" si="4"/>
        <v>0</v>
      </c>
      <c r="K50">
        <f t="shared" si="5"/>
        <v>37</v>
      </c>
      <c r="L50" s="3">
        <f t="shared" si="6"/>
        <v>0.10882352941176471</v>
      </c>
      <c r="M50">
        <v>1622.59</v>
      </c>
      <c r="N50">
        <v>70.540000000000006</v>
      </c>
      <c r="O50">
        <v>4.8099999999999996</v>
      </c>
      <c r="P50">
        <v>1808.85</v>
      </c>
      <c r="Q50">
        <v>0.9</v>
      </c>
      <c r="R50">
        <v>28.7</v>
      </c>
      <c r="S50">
        <v>2.09</v>
      </c>
      <c r="T50">
        <v>685.25</v>
      </c>
      <c r="U50">
        <v>1007.89</v>
      </c>
      <c r="V50">
        <v>203</v>
      </c>
      <c r="W50" s="3">
        <f t="shared" si="7"/>
        <v>0.59705882352941175</v>
      </c>
    </row>
    <row r="51" spans="1:23" x14ac:dyDescent="0.3">
      <c r="A51" t="s">
        <v>56</v>
      </c>
      <c r="B51" t="s">
        <v>57</v>
      </c>
      <c r="C51" t="s">
        <v>81</v>
      </c>
      <c r="D51">
        <v>305</v>
      </c>
      <c r="E51">
        <f t="shared" si="0"/>
        <v>300</v>
      </c>
      <c r="F51" s="3">
        <f t="shared" si="2"/>
        <v>0.98360655737704916</v>
      </c>
      <c r="G51">
        <v>285</v>
      </c>
      <c r="H51" s="3">
        <f t="shared" si="3"/>
        <v>0.95</v>
      </c>
      <c r="I51">
        <v>15</v>
      </c>
      <c r="J51" s="3">
        <f t="shared" si="4"/>
        <v>5.2631578947368418E-2</v>
      </c>
      <c r="K51">
        <f t="shared" si="5"/>
        <v>5</v>
      </c>
      <c r="L51" s="3">
        <f t="shared" si="6"/>
        <v>1.7543859649122806E-2</v>
      </c>
      <c r="M51">
        <v>2488.06</v>
      </c>
      <c r="N51">
        <v>164.03</v>
      </c>
      <c r="O51">
        <v>5</v>
      </c>
      <c r="P51">
        <v>2017.1</v>
      </c>
      <c r="Q51">
        <v>1.23</v>
      </c>
      <c r="R51">
        <v>30.62</v>
      </c>
      <c r="S51">
        <v>1.96</v>
      </c>
      <c r="T51">
        <v>974.52</v>
      </c>
      <c r="U51">
        <v>1677.57</v>
      </c>
      <c r="V51">
        <v>174</v>
      </c>
      <c r="W51" s="3">
        <f t="shared" si="7"/>
        <v>0.61052631578947369</v>
      </c>
    </row>
    <row r="52" spans="1:23" x14ac:dyDescent="0.3">
      <c r="A52" t="s">
        <v>59</v>
      </c>
      <c r="B52" t="s">
        <v>60</v>
      </c>
      <c r="C52" t="s">
        <v>81</v>
      </c>
      <c r="D52">
        <v>253</v>
      </c>
      <c r="E52">
        <f t="shared" si="0"/>
        <v>249</v>
      </c>
      <c r="F52" s="3">
        <f t="shared" si="2"/>
        <v>0.98418972332015808</v>
      </c>
      <c r="G52">
        <v>240</v>
      </c>
      <c r="H52" s="3">
        <f t="shared" si="3"/>
        <v>0.96385542168674698</v>
      </c>
      <c r="I52">
        <v>9</v>
      </c>
      <c r="J52" s="3">
        <f t="shared" si="4"/>
        <v>3.7499999999999999E-2</v>
      </c>
      <c r="K52">
        <f t="shared" si="5"/>
        <v>4</v>
      </c>
      <c r="L52" s="3">
        <f t="shared" si="6"/>
        <v>1.6666666666666666E-2</v>
      </c>
      <c r="M52">
        <v>1945.29</v>
      </c>
      <c r="N52">
        <v>86.93</v>
      </c>
      <c r="O52">
        <v>4.8899999999999997</v>
      </c>
      <c r="P52">
        <v>1680.35</v>
      </c>
      <c r="Q52">
        <v>1.1599999999999999</v>
      </c>
      <c r="R52">
        <v>37.79</v>
      </c>
      <c r="S52">
        <v>1.59</v>
      </c>
      <c r="T52">
        <v>772.33</v>
      </c>
      <c r="U52">
        <v>1259.8900000000001</v>
      </c>
      <c r="V52">
        <v>170</v>
      </c>
      <c r="W52" s="3">
        <f t="shared" si="7"/>
        <v>0.70833333333333337</v>
      </c>
    </row>
    <row r="53" spans="1:23" x14ac:dyDescent="0.3">
      <c r="A53" t="s">
        <v>61</v>
      </c>
      <c r="B53" t="s">
        <v>62</v>
      </c>
      <c r="C53" t="s">
        <v>81</v>
      </c>
      <c r="D53">
        <v>367</v>
      </c>
      <c r="E53">
        <f t="shared" si="0"/>
        <v>327</v>
      </c>
      <c r="F53" s="3">
        <f t="shared" si="2"/>
        <v>0.89100817438692093</v>
      </c>
      <c r="G53">
        <v>315</v>
      </c>
      <c r="H53" s="3">
        <f t="shared" si="3"/>
        <v>0.96330275229357798</v>
      </c>
      <c r="I53">
        <v>12</v>
      </c>
      <c r="J53" s="3">
        <f t="shared" si="4"/>
        <v>3.8095238095238099E-2</v>
      </c>
      <c r="K53">
        <f t="shared" si="5"/>
        <v>40</v>
      </c>
      <c r="L53" s="3">
        <f t="shared" si="6"/>
        <v>0.12698412698412698</v>
      </c>
      <c r="M53">
        <v>2203.98</v>
      </c>
      <c r="N53">
        <v>140.61000000000001</v>
      </c>
      <c r="O53">
        <v>4.6100000000000003</v>
      </c>
      <c r="P53">
        <v>2171.31</v>
      </c>
      <c r="Q53">
        <v>1.02</v>
      </c>
      <c r="R53">
        <v>29.02</v>
      </c>
      <c r="S53">
        <v>2.06</v>
      </c>
      <c r="T53">
        <v>901.99</v>
      </c>
      <c r="U53">
        <v>1442.59</v>
      </c>
      <c r="V53">
        <v>246</v>
      </c>
      <c r="W53" s="3">
        <f t="shared" si="7"/>
        <v>0.78095238095238095</v>
      </c>
    </row>
    <row r="54" spans="1:23" x14ac:dyDescent="0.3">
      <c r="A54" t="s">
        <v>63</v>
      </c>
      <c r="B54" t="s">
        <v>64</v>
      </c>
      <c r="C54" t="s">
        <v>81</v>
      </c>
      <c r="D54">
        <v>352</v>
      </c>
      <c r="E54">
        <f t="shared" si="0"/>
        <v>340</v>
      </c>
      <c r="F54" s="3">
        <f t="shared" si="2"/>
        <v>0.96590909090909094</v>
      </c>
      <c r="G54">
        <v>328</v>
      </c>
      <c r="H54" s="3">
        <f t="shared" si="3"/>
        <v>0.96470588235294119</v>
      </c>
      <c r="I54">
        <v>12</v>
      </c>
      <c r="J54" s="3">
        <f t="shared" si="4"/>
        <v>3.6585365853658534E-2</v>
      </c>
      <c r="K54">
        <f t="shared" si="5"/>
        <v>12</v>
      </c>
      <c r="L54" s="3">
        <f t="shared" si="6"/>
        <v>3.6585365853658534E-2</v>
      </c>
      <c r="M54">
        <v>2090.92</v>
      </c>
      <c r="N54">
        <v>208.98</v>
      </c>
      <c r="O54">
        <v>4.6399999999999997</v>
      </c>
      <c r="P54">
        <v>1663.21</v>
      </c>
      <c r="Q54">
        <v>1.26</v>
      </c>
      <c r="R54">
        <v>29.83</v>
      </c>
      <c r="S54">
        <v>2.0099999999999998</v>
      </c>
      <c r="T54">
        <v>815.75</v>
      </c>
      <c r="U54">
        <v>1484.15</v>
      </c>
      <c r="V54">
        <v>177</v>
      </c>
      <c r="W54" s="3">
        <f t="shared" si="7"/>
        <v>0.53963414634146345</v>
      </c>
    </row>
    <row r="55" spans="1:23" x14ac:dyDescent="0.3">
      <c r="A55" t="s">
        <v>65</v>
      </c>
      <c r="B55" t="s">
        <v>66</v>
      </c>
      <c r="C55" t="s">
        <v>81</v>
      </c>
      <c r="D55">
        <v>238</v>
      </c>
      <c r="E55">
        <f t="shared" si="0"/>
        <v>204</v>
      </c>
      <c r="F55" s="3">
        <f t="shared" si="2"/>
        <v>0.8571428571428571</v>
      </c>
      <c r="G55">
        <v>203</v>
      </c>
      <c r="H55" s="3">
        <f t="shared" si="3"/>
        <v>0.99509803921568629</v>
      </c>
      <c r="I55">
        <v>1</v>
      </c>
      <c r="J55" s="3">
        <f t="shared" si="4"/>
        <v>4.9261083743842365E-3</v>
      </c>
      <c r="K55">
        <f t="shared" si="5"/>
        <v>34</v>
      </c>
      <c r="L55" s="3">
        <f t="shared" si="6"/>
        <v>0.16748768472906403</v>
      </c>
      <c r="M55">
        <v>1009.77</v>
      </c>
      <c r="N55">
        <v>50.07</v>
      </c>
      <c r="O55">
        <v>4.88</v>
      </c>
      <c r="P55">
        <v>929.41</v>
      </c>
      <c r="Q55">
        <v>1.0900000000000001</v>
      </c>
      <c r="R55">
        <v>39.07</v>
      </c>
      <c r="S55">
        <v>1.53</v>
      </c>
      <c r="T55">
        <v>406.67</v>
      </c>
      <c r="U55">
        <v>653.17999999999995</v>
      </c>
      <c r="V55">
        <v>132</v>
      </c>
      <c r="W55" s="3">
        <f t="shared" si="7"/>
        <v>0.65024630541871919</v>
      </c>
    </row>
    <row r="56" spans="1:23" x14ac:dyDescent="0.3">
      <c r="A56" t="s">
        <v>67</v>
      </c>
      <c r="B56" t="s">
        <v>68</v>
      </c>
      <c r="C56" t="s">
        <v>81</v>
      </c>
      <c r="D56">
        <v>240</v>
      </c>
      <c r="E56">
        <f t="shared" si="0"/>
        <v>196</v>
      </c>
      <c r="F56" s="3">
        <f t="shared" si="2"/>
        <v>0.81666666666666665</v>
      </c>
      <c r="G56">
        <v>191</v>
      </c>
      <c r="H56" s="3">
        <f t="shared" si="3"/>
        <v>0.97448979591836737</v>
      </c>
      <c r="I56">
        <v>5</v>
      </c>
      <c r="J56" s="3">
        <f t="shared" si="4"/>
        <v>2.6178010471204188E-2</v>
      </c>
      <c r="K56">
        <f t="shared" si="5"/>
        <v>44</v>
      </c>
      <c r="L56" s="3">
        <f t="shared" si="6"/>
        <v>0.23036649214659685</v>
      </c>
      <c r="M56">
        <v>1765.83</v>
      </c>
      <c r="N56">
        <v>121.78</v>
      </c>
      <c r="O56">
        <v>4.58</v>
      </c>
      <c r="P56">
        <v>1396.53</v>
      </c>
      <c r="Q56">
        <v>1.26</v>
      </c>
      <c r="R56">
        <v>34.840000000000003</v>
      </c>
      <c r="S56">
        <v>1.73</v>
      </c>
      <c r="T56">
        <v>688.11</v>
      </c>
      <c r="U56">
        <v>1199.5</v>
      </c>
      <c r="V56">
        <v>131</v>
      </c>
      <c r="W56" s="3">
        <f t="shared" si="7"/>
        <v>0.68586387434554974</v>
      </c>
    </row>
    <row r="57" spans="1:23" x14ac:dyDescent="0.3">
      <c r="A57" t="s">
        <v>69</v>
      </c>
      <c r="B57" t="s">
        <v>70</v>
      </c>
      <c r="C57" t="s">
        <v>81</v>
      </c>
      <c r="D57">
        <v>195</v>
      </c>
      <c r="E57">
        <f t="shared" si="0"/>
        <v>166</v>
      </c>
      <c r="F57" s="3">
        <f t="shared" si="2"/>
        <v>0.85128205128205126</v>
      </c>
      <c r="G57">
        <v>164</v>
      </c>
      <c r="H57" s="3">
        <f t="shared" si="3"/>
        <v>0.98795180722891562</v>
      </c>
      <c r="I57">
        <v>2</v>
      </c>
      <c r="J57" s="3">
        <f t="shared" si="4"/>
        <v>1.2195121951219513E-2</v>
      </c>
      <c r="K57">
        <f t="shared" si="5"/>
        <v>29</v>
      </c>
      <c r="L57" s="3">
        <f t="shared" si="6"/>
        <v>0.17682926829268292</v>
      </c>
      <c r="M57">
        <v>1472.84</v>
      </c>
      <c r="N57">
        <v>70.28</v>
      </c>
      <c r="O57">
        <v>4.95</v>
      </c>
      <c r="P57">
        <v>1241.5999999999999</v>
      </c>
      <c r="Q57">
        <v>1.19</v>
      </c>
      <c r="R57">
        <v>40.700000000000003</v>
      </c>
      <c r="S57">
        <v>1.47</v>
      </c>
      <c r="T57">
        <v>581.66999999999996</v>
      </c>
      <c r="U57">
        <v>961.46</v>
      </c>
      <c r="V57">
        <v>93</v>
      </c>
      <c r="W57" s="3">
        <f t="shared" si="7"/>
        <v>0.56707317073170727</v>
      </c>
    </row>
    <row r="58" spans="1:23" x14ac:dyDescent="0.3">
      <c r="A58" t="s">
        <v>71</v>
      </c>
      <c r="B58" t="s">
        <v>72</v>
      </c>
      <c r="C58" t="s">
        <v>81</v>
      </c>
      <c r="D58">
        <v>281</v>
      </c>
      <c r="E58">
        <f t="shared" si="0"/>
        <v>243</v>
      </c>
      <c r="F58" s="3">
        <f t="shared" si="2"/>
        <v>0.86476868327402134</v>
      </c>
      <c r="G58">
        <v>236</v>
      </c>
      <c r="H58" s="3">
        <f t="shared" si="3"/>
        <v>0.9711934156378601</v>
      </c>
      <c r="I58">
        <v>7</v>
      </c>
      <c r="J58" s="3">
        <f t="shared" si="4"/>
        <v>2.9661016949152543E-2</v>
      </c>
      <c r="K58">
        <f t="shared" si="5"/>
        <v>38</v>
      </c>
      <c r="L58" s="3">
        <f t="shared" si="6"/>
        <v>0.16101694915254236</v>
      </c>
      <c r="M58">
        <v>2004.1</v>
      </c>
      <c r="N58">
        <v>23.54</v>
      </c>
      <c r="O58">
        <v>4.97</v>
      </c>
      <c r="P58">
        <v>2016.38</v>
      </c>
      <c r="Q58">
        <v>0.99</v>
      </c>
      <c r="R58">
        <v>35.07</v>
      </c>
      <c r="S58">
        <v>1.71</v>
      </c>
      <c r="T58">
        <v>824.42</v>
      </c>
      <c r="U58">
        <v>1203.22</v>
      </c>
      <c r="V58">
        <v>219</v>
      </c>
      <c r="W58" s="3">
        <f t="shared" si="7"/>
        <v>0.92796610169491522</v>
      </c>
    </row>
    <row r="59" spans="1:23" x14ac:dyDescent="0.3">
      <c r="A59" t="s">
        <v>74</v>
      </c>
      <c r="B59" t="s">
        <v>75</v>
      </c>
      <c r="C59" t="s">
        <v>81</v>
      </c>
      <c r="D59">
        <v>332</v>
      </c>
      <c r="E59">
        <f t="shared" si="0"/>
        <v>299</v>
      </c>
      <c r="F59" s="3">
        <f t="shared" si="2"/>
        <v>0.9006024096385542</v>
      </c>
      <c r="G59">
        <v>294</v>
      </c>
      <c r="H59" s="3">
        <f t="shared" si="3"/>
        <v>0.98327759197324416</v>
      </c>
      <c r="I59">
        <v>5</v>
      </c>
      <c r="J59" s="3">
        <f t="shared" si="4"/>
        <v>1.7006802721088437E-2</v>
      </c>
      <c r="K59">
        <f t="shared" si="5"/>
        <v>33</v>
      </c>
      <c r="L59" s="3">
        <f t="shared" si="6"/>
        <v>0.11224489795918367</v>
      </c>
      <c r="M59">
        <v>2662.03</v>
      </c>
      <c r="N59">
        <v>80.16</v>
      </c>
      <c r="O59">
        <v>4.8600000000000003</v>
      </c>
      <c r="P59">
        <v>2166.59</v>
      </c>
      <c r="Q59">
        <v>1.23</v>
      </c>
      <c r="R59">
        <v>33.17</v>
      </c>
      <c r="S59">
        <v>1.81</v>
      </c>
      <c r="T59">
        <v>1043.51</v>
      </c>
      <c r="U59">
        <v>1698.68</v>
      </c>
      <c r="V59">
        <v>255</v>
      </c>
      <c r="W59" s="3">
        <f t="shared" si="7"/>
        <v>0.86734693877551017</v>
      </c>
    </row>
    <row r="60" spans="1:23" x14ac:dyDescent="0.3">
      <c r="A60" t="s">
        <v>76</v>
      </c>
      <c r="B60" t="s">
        <v>77</v>
      </c>
      <c r="C60" t="s">
        <v>81</v>
      </c>
      <c r="D60">
        <v>343</v>
      </c>
      <c r="E60">
        <f t="shared" si="0"/>
        <v>298</v>
      </c>
      <c r="F60" s="3">
        <f t="shared" si="2"/>
        <v>0.86880466472303208</v>
      </c>
      <c r="G60">
        <v>286</v>
      </c>
      <c r="H60" s="3">
        <f t="shared" si="3"/>
        <v>0.95973154362416102</v>
      </c>
      <c r="I60">
        <v>12</v>
      </c>
      <c r="J60" s="3">
        <f t="shared" si="4"/>
        <v>4.195804195804196E-2</v>
      </c>
      <c r="K60">
        <f t="shared" si="5"/>
        <v>45</v>
      </c>
      <c r="L60" s="3">
        <f t="shared" si="6"/>
        <v>0.15734265734265734</v>
      </c>
      <c r="M60">
        <v>2414.0500000000002</v>
      </c>
      <c r="N60">
        <v>136.43</v>
      </c>
      <c r="O60">
        <v>4.9800000000000004</v>
      </c>
      <c r="P60">
        <v>1691.49</v>
      </c>
      <c r="Q60">
        <v>1.43</v>
      </c>
      <c r="R60">
        <v>32.28</v>
      </c>
      <c r="S60">
        <v>1.86</v>
      </c>
      <c r="T60">
        <v>918.77</v>
      </c>
      <c r="U60">
        <v>1631.71</v>
      </c>
      <c r="V60">
        <v>139</v>
      </c>
      <c r="W60" s="3">
        <f t="shared" si="7"/>
        <v>0.48601398601398599</v>
      </c>
    </row>
    <row r="61" spans="1:23" x14ac:dyDescent="0.3">
      <c r="A61" t="s">
        <v>78</v>
      </c>
      <c r="B61" t="s">
        <v>79</v>
      </c>
      <c r="C61" t="s">
        <v>81</v>
      </c>
      <c r="D61">
        <v>232</v>
      </c>
      <c r="E61">
        <f t="shared" si="0"/>
        <v>206</v>
      </c>
      <c r="F61" s="3">
        <f t="shared" si="2"/>
        <v>0.88793103448275867</v>
      </c>
      <c r="G61">
        <v>199</v>
      </c>
      <c r="H61" s="3">
        <f t="shared" si="3"/>
        <v>0.96601941747572817</v>
      </c>
      <c r="I61">
        <v>7</v>
      </c>
      <c r="J61" s="3">
        <f t="shared" si="4"/>
        <v>3.5175879396984924E-2</v>
      </c>
      <c r="K61">
        <f t="shared" si="5"/>
        <v>26</v>
      </c>
      <c r="L61" s="3">
        <f t="shared" si="6"/>
        <v>0.1306532663316583</v>
      </c>
      <c r="M61">
        <v>904.64</v>
      </c>
      <c r="N61">
        <v>37.950000000000003</v>
      </c>
      <c r="O61">
        <v>4.74</v>
      </c>
      <c r="P61">
        <v>788.45</v>
      </c>
      <c r="Q61">
        <v>1.1499999999999999</v>
      </c>
      <c r="R61">
        <v>36.549999999999997</v>
      </c>
      <c r="S61">
        <v>1.64</v>
      </c>
      <c r="T61">
        <v>359.87</v>
      </c>
      <c r="U61">
        <v>582.72</v>
      </c>
      <c r="V61">
        <v>121</v>
      </c>
      <c r="W61" s="3">
        <f t="shared" si="7"/>
        <v>0.60804020100502509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02D7-8A74-418C-B407-627A1C0D19DA}">
  <dimension ref="A3:U98"/>
  <sheetViews>
    <sheetView topLeftCell="A28" workbookViewId="0">
      <selection activeCell="B46" sqref="B46"/>
    </sheetView>
  </sheetViews>
  <sheetFormatPr baseColWidth="10" defaultRowHeight="14.4" x14ac:dyDescent="0.3"/>
  <cols>
    <col min="1" max="1" width="26" bestFit="1" customWidth="1"/>
    <col min="2" max="2" width="22.88671875" bestFit="1" customWidth="1"/>
    <col min="3" max="3" width="7.109375" bestFit="1" customWidth="1"/>
    <col min="4" max="4" width="19.33203125" bestFit="1" customWidth="1"/>
    <col min="5" max="5" width="17.33203125" bestFit="1" customWidth="1"/>
    <col min="6" max="6" width="19.109375" bestFit="1" customWidth="1"/>
    <col min="7" max="7" width="24" bestFit="1" customWidth="1"/>
    <col min="8" max="8" width="32.109375" bestFit="1" customWidth="1"/>
    <col min="9" max="9" width="14.5546875" bestFit="1" customWidth="1"/>
    <col min="11" max="11" width="17.33203125" bestFit="1" customWidth="1"/>
    <col min="12" max="12" width="17.33203125" style="17" bestFit="1" customWidth="1"/>
    <col min="13" max="13" width="22.77734375" style="17" bestFit="1" customWidth="1"/>
    <col min="14" max="14" width="11.21875" style="17" bestFit="1" customWidth="1"/>
    <col min="15" max="15" width="15" style="17" bestFit="1" customWidth="1"/>
    <col min="16" max="16" width="15.6640625" style="17" bestFit="1" customWidth="1"/>
    <col min="17" max="17" width="17.33203125" bestFit="1" customWidth="1"/>
    <col min="18" max="18" width="19.109375" bestFit="1" customWidth="1"/>
    <col min="19" max="19" width="24" bestFit="1" customWidth="1"/>
  </cols>
  <sheetData>
    <row r="3" spans="1:4" x14ac:dyDescent="0.3">
      <c r="A3" t="s">
        <v>83</v>
      </c>
      <c r="B3" t="s">
        <v>84</v>
      </c>
    </row>
    <row r="4" spans="1:4" x14ac:dyDescent="0.3">
      <c r="A4">
        <v>10941</v>
      </c>
      <c r="B4">
        <v>10736.160000000002</v>
      </c>
      <c r="C4" s="3">
        <f>B4/A4</f>
        <v>0.98127776254455734</v>
      </c>
    </row>
    <row r="8" spans="1:4" x14ac:dyDescent="0.3">
      <c r="A8" t="s">
        <v>85</v>
      </c>
      <c r="B8" t="s">
        <v>86</v>
      </c>
    </row>
    <row r="9" spans="1:4" x14ac:dyDescent="0.3">
      <c r="A9">
        <v>1260</v>
      </c>
      <c r="B9">
        <v>1242</v>
      </c>
      <c r="C9" s="3">
        <f>B9/A9</f>
        <v>0.98571428571428577</v>
      </c>
    </row>
    <row r="12" spans="1:4" x14ac:dyDescent="0.3">
      <c r="A12" t="s">
        <v>85</v>
      </c>
      <c r="B12" t="s">
        <v>86</v>
      </c>
    </row>
    <row r="13" spans="1:4" x14ac:dyDescent="0.3">
      <c r="A13">
        <v>1260</v>
      </c>
      <c r="B13">
        <v>1242</v>
      </c>
      <c r="C13" s="3">
        <f>B13/A13</f>
        <v>0.98571428571428577</v>
      </c>
    </row>
    <row r="16" spans="1:4" x14ac:dyDescent="0.3">
      <c r="A16" t="s">
        <v>84</v>
      </c>
      <c r="B16" t="s">
        <v>87</v>
      </c>
      <c r="C16" t="s">
        <v>89</v>
      </c>
      <c r="D16" t="s">
        <v>88</v>
      </c>
    </row>
    <row r="17" spans="1:10" x14ac:dyDescent="0.3">
      <c r="A17">
        <v>10736.160000000002</v>
      </c>
      <c r="B17">
        <v>2425.4000000000015</v>
      </c>
      <c r="C17" s="3">
        <f>+D17/GETPIVOTDATA("Suma de Horas_en_Linea",$A$16)</f>
        <v>0.77409055006631788</v>
      </c>
      <c r="D17">
        <f>+A17-B17</f>
        <v>8310.76</v>
      </c>
    </row>
    <row r="21" spans="1:10" x14ac:dyDescent="0.3">
      <c r="A21" s="6" t="s">
        <v>90</v>
      </c>
      <c r="B21" t="s">
        <v>92</v>
      </c>
    </row>
    <row r="22" spans="1:10" x14ac:dyDescent="0.3">
      <c r="A22" s="7" t="s">
        <v>36</v>
      </c>
      <c r="B22" s="8">
        <v>36051.32</v>
      </c>
    </row>
    <row r="23" spans="1:10" x14ac:dyDescent="0.3">
      <c r="A23" s="7" t="s">
        <v>73</v>
      </c>
      <c r="B23" s="8">
        <v>39704.629999999997</v>
      </c>
    </row>
    <row r="24" spans="1:10" x14ac:dyDescent="0.3">
      <c r="A24" s="7" t="s">
        <v>81</v>
      </c>
      <c r="B24" s="8">
        <v>41609.97</v>
      </c>
    </row>
    <row r="25" spans="1:10" x14ac:dyDescent="0.3">
      <c r="A25" s="7" t="s">
        <v>91</v>
      </c>
      <c r="B25" s="8">
        <v>117365.92</v>
      </c>
    </row>
    <row r="28" spans="1:10" x14ac:dyDescent="0.3">
      <c r="E28" s="6" t="s">
        <v>90</v>
      </c>
      <c r="F28" t="s">
        <v>92</v>
      </c>
      <c r="G28" t="s">
        <v>93</v>
      </c>
      <c r="H28" t="s">
        <v>95</v>
      </c>
      <c r="I28" t="s">
        <v>96</v>
      </c>
    </row>
    <row r="29" spans="1:10" x14ac:dyDescent="0.3">
      <c r="E29" s="7" t="s">
        <v>36</v>
      </c>
      <c r="F29" s="8">
        <v>36051.32</v>
      </c>
      <c r="G29" s="8">
        <v>24127.629999999997</v>
      </c>
      <c r="H29" s="10">
        <f>+F29/$F$32</f>
        <v>0.30717025862362773</v>
      </c>
      <c r="I29" s="10">
        <f>+G29/$G$32</f>
        <v>0.30883564054809948</v>
      </c>
    </row>
    <row r="30" spans="1:10" x14ac:dyDescent="0.3">
      <c r="E30" s="7" t="s">
        <v>73</v>
      </c>
      <c r="F30" s="8">
        <v>39704.629999999997</v>
      </c>
      <c r="G30" s="8">
        <v>26524.150000000005</v>
      </c>
      <c r="H30" s="10">
        <f t="shared" ref="H30:H32" si="0">+F30/$F$32</f>
        <v>0.33829777843517095</v>
      </c>
      <c r="I30" s="10">
        <f t="shared" ref="I30:I32" si="1">+G30/$G$32</f>
        <v>0.33951129287227444</v>
      </c>
    </row>
    <row r="31" spans="1:10" x14ac:dyDescent="0.3">
      <c r="E31" s="7" t="s">
        <v>81</v>
      </c>
      <c r="F31" s="8">
        <v>41609.97</v>
      </c>
      <c r="G31" s="8">
        <v>27472.720000000001</v>
      </c>
      <c r="H31" s="10">
        <f t="shared" si="0"/>
        <v>0.35453196294120137</v>
      </c>
      <c r="I31" s="10">
        <f t="shared" si="1"/>
        <v>0.35165306657962614</v>
      </c>
      <c r="J31" s="10">
        <f>+H31-H29</f>
        <v>4.7361704317573639E-2</v>
      </c>
    </row>
    <row r="32" spans="1:10" x14ac:dyDescent="0.3">
      <c r="E32" s="7" t="s">
        <v>91</v>
      </c>
      <c r="F32" s="8">
        <v>117365.92</v>
      </c>
      <c r="G32" s="8">
        <v>78124.5</v>
      </c>
      <c r="H32" s="10">
        <f t="shared" si="0"/>
        <v>1</v>
      </c>
      <c r="I32" s="10">
        <f t="shared" si="1"/>
        <v>1</v>
      </c>
    </row>
    <row r="35" spans="5:14" x14ac:dyDescent="0.3">
      <c r="E35" s="6" t="s">
        <v>90</v>
      </c>
      <c r="F35" t="s">
        <v>97</v>
      </c>
      <c r="G35" t="s">
        <v>98</v>
      </c>
      <c r="H35" s="9" t="s">
        <v>100</v>
      </c>
      <c r="L35" s="6" t="s">
        <v>90</v>
      </c>
      <c r="M35" t="s">
        <v>103</v>
      </c>
      <c r="N35" s="9" t="s">
        <v>100</v>
      </c>
    </row>
    <row r="36" spans="5:14" x14ac:dyDescent="0.3">
      <c r="E36" s="7" t="s">
        <v>36</v>
      </c>
      <c r="F36" s="11">
        <v>5471</v>
      </c>
      <c r="G36" s="11">
        <v>4878</v>
      </c>
      <c r="H36" s="3">
        <f>+G36/F36</f>
        <v>0.89161030890148052</v>
      </c>
      <c r="L36" s="7" t="s">
        <v>36</v>
      </c>
      <c r="M36" s="11">
        <v>18</v>
      </c>
      <c r="N36" s="3">
        <f>+M36/20</f>
        <v>0.9</v>
      </c>
    </row>
    <row r="37" spans="5:14" x14ac:dyDescent="0.3">
      <c r="E37" s="7" t="s">
        <v>73</v>
      </c>
      <c r="F37" s="11">
        <v>6023</v>
      </c>
      <c r="G37" s="11">
        <v>5422</v>
      </c>
      <c r="H37" s="3">
        <f>+G37/F37</f>
        <v>0.90021583928274951</v>
      </c>
      <c r="L37" s="7" t="s">
        <v>73</v>
      </c>
      <c r="M37" s="11">
        <v>21</v>
      </c>
      <c r="N37" s="3">
        <f t="shared" ref="N37:N38" si="2">+M37/20</f>
        <v>1.05</v>
      </c>
    </row>
    <row r="38" spans="5:14" x14ac:dyDescent="0.3">
      <c r="E38" s="7" t="s">
        <v>81</v>
      </c>
      <c r="F38" s="11">
        <v>6275</v>
      </c>
      <c r="G38" s="11">
        <v>5663</v>
      </c>
      <c r="H38" s="3">
        <f>+G38/F38</f>
        <v>0.90247011952191236</v>
      </c>
      <c r="I38" s="3">
        <f>+H38-H36</f>
        <v>1.0859810620431842E-2</v>
      </c>
      <c r="J38">
        <f>+GETPIVOTDATA("Suma de Total_Clientes_Ofrecidos",$E$35,"Mes","Marzo")-GETPIVOTDATA("Suma de Total_Clientes_Ofrecidos",$E$35,"Mes","Enero")</f>
        <v>804</v>
      </c>
      <c r="L38" s="7" t="s">
        <v>81</v>
      </c>
      <c r="M38" s="11">
        <v>21</v>
      </c>
      <c r="N38" s="3">
        <f t="shared" si="2"/>
        <v>1.05</v>
      </c>
    </row>
    <row r="39" spans="5:14" x14ac:dyDescent="0.3">
      <c r="E39" s="7" t="s">
        <v>91</v>
      </c>
      <c r="F39" s="11">
        <v>17769</v>
      </c>
      <c r="G39" s="11">
        <v>15963</v>
      </c>
      <c r="H39" s="3">
        <f>+F39/$F$39</f>
        <v>1</v>
      </c>
      <c r="L39" s="7" t="s">
        <v>91</v>
      </c>
      <c r="M39" s="11">
        <v>60</v>
      </c>
      <c r="N39" s="3"/>
    </row>
    <row r="42" spans="5:14" x14ac:dyDescent="0.3">
      <c r="E42" s="6" t="s">
        <v>90</v>
      </c>
      <c r="F42" t="s">
        <v>98</v>
      </c>
      <c r="G42" t="s">
        <v>94</v>
      </c>
      <c r="H42" s="9" t="s">
        <v>100</v>
      </c>
    </row>
    <row r="43" spans="5:14" x14ac:dyDescent="0.3">
      <c r="E43" s="7" t="s">
        <v>36</v>
      </c>
      <c r="F43" s="11">
        <v>4878</v>
      </c>
      <c r="G43" s="11">
        <v>156</v>
      </c>
      <c r="H43" s="3">
        <f>+G43/F43</f>
        <v>3.1980319803198029E-2</v>
      </c>
    </row>
    <row r="44" spans="5:14" x14ac:dyDescent="0.3">
      <c r="E44" s="7" t="s">
        <v>73</v>
      </c>
      <c r="F44" s="11">
        <v>5422</v>
      </c>
      <c r="G44" s="11">
        <v>208</v>
      </c>
      <c r="H44" s="3">
        <f>+G44/F44</f>
        <v>3.8362227960162303E-2</v>
      </c>
    </row>
    <row r="45" spans="5:14" x14ac:dyDescent="0.3">
      <c r="E45" s="7" t="s">
        <v>81</v>
      </c>
      <c r="F45" s="11">
        <v>5663</v>
      </c>
      <c r="G45" s="11">
        <v>179</v>
      </c>
      <c r="H45" s="3">
        <f>+G45/F45</f>
        <v>3.1608687974571781E-2</v>
      </c>
    </row>
    <row r="46" spans="5:14" x14ac:dyDescent="0.3">
      <c r="E46" s="7" t="s">
        <v>91</v>
      </c>
      <c r="F46" s="11">
        <v>15963</v>
      </c>
      <c r="G46" s="11">
        <v>543</v>
      </c>
      <c r="H46" s="3">
        <f>+F46/$F$39</f>
        <v>0.89836231639371944</v>
      </c>
    </row>
    <row r="48" spans="5:14" x14ac:dyDescent="0.3">
      <c r="E48" s="6" t="s">
        <v>90</v>
      </c>
      <c r="F48" t="s">
        <v>98</v>
      </c>
      <c r="G48" t="s">
        <v>99</v>
      </c>
      <c r="H48" s="9" t="s">
        <v>100</v>
      </c>
    </row>
    <row r="49" spans="5:21" x14ac:dyDescent="0.3">
      <c r="E49" s="7" t="s">
        <v>36</v>
      </c>
      <c r="F49" s="11">
        <v>4878</v>
      </c>
      <c r="G49" s="11">
        <v>593</v>
      </c>
      <c r="H49" s="3">
        <f>+G49/F49</f>
        <v>0.12156621566215663</v>
      </c>
    </row>
    <row r="50" spans="5:21" x14ac:dyDescent="0.3">
      <c r="E50" s="7" t="s">
        <v>73</v>
      </c>
      <c r="F50" s="11">
        <v>5422</v>
      </c>
      <c r="G50" s="11">
        <v>601</v>
      </c>
      <c r="H50" s="3">
        <f>+G50/F50</f>
        <v>0.11084470675027665</v>
      </c>
    </row>
    <row r="51" spans="5:21" x14ac:dyDescent="0.3">
      <c r="E51" s="7" t="s">
        <v>81</v>
      </c>
      <c r="F51" s="11">
        <v>5663</v>
      </c>
      <c r="G51" s="11">
        <v>612</v>
      </c>
      <c r="H51" s="3">
        <f>+G51/F51</f>
        <v>0.1080699276002119</v>
      </c>
      <c r="I51" s="3">
        <f>+H49-H51</f>
        <v>1.3496288061944722E-2</v>
      </c>
      <c r="J51">
        <f>+I51*GETPIVOTDATA("Suma de Total_Clientes_Aceptados",$E$48,"Mes","Marzo")</f>
        <v>76.429479294792969</v>
      </c>
    </row>
    <row r="52" spans="5:21" x14ac:dyDescent="0.3">
      <c r="E52" s="7" t="s">
        <v>91</v>
      </c>
      <c r="F52" s="11">
        <v>15963</v>
      </c>
      <c r="G52" s="11">
        <v>1806</v>
      </c>
      <c r="H52" s="3">
        <f>+F52/$F$39</f>
        <v>0.89836231639371944</v>
      </c>
    </row>
    <row r="53" spans="5:21" x14ac:dyDescent="0.3">
      <c r="E53" s="7"/>
      <c r="F53" s="11"/>
      <c r="G53" s="11"/>
      <c r="H53" s="3"/>
    </row>
    <row r="54" spans="5:21" x14ac:dyDescent="0.3">
      <c r="E54" s="6" t="s">
        <v>2</v>
      </c>
      <c r="F54" t="s">
        <v>36</v>
      </c>
      <c r="K54" s="6" t="s">
        <v>2</v>
      </c>
      <c r="L54" s="17" t="s">
        <v>73</v>
      </c>
      <c r="Q54" s="6" t="s">
        <v>2</v>
      </c>
      <c r="R54" t="s">
        <v>81</v>
      </c>
    </row>
    <row r="56" spans="5:21" x14ac:dyDescent="0.3">
      <c r="E56" s="6" t="s">
        <v>90</v>
      </c>
      <c r="F56" t="s">
        <v>92</v>
      </c>
      <c r="G56" t="s">
        <v>93</v>
      </c>
      <c r="H56" t="s">
        <v>95</v>
      </c>
      <c r="I56" t="s">
        <v>96</v>
      </c>
      <c r="K56" s="6" t="s">
        <v>90</v>
      </c>
      <c r="L56" s="17" t="s">
        <v>92</v>
      </c>
      <c r="M56" s="17" t="s">
        <v>93</v>
      </c>
      <c r="N56" s="17" t="s">
        <v>95</v>
      </c>
      <c r="O56" s="17" t="s">
        <v>96</v>
      </c>
      <c r="Q56" s="6" t="s">
        <v>90</v>
      </c>
      <c r="R56" t="s">
        <v>92</v>
      </c>
      <c r="S56" t="s">
        <v>93</v>
      </c>
      <c r="T56" t="s">
        <v>95</v>
      </c>
      <c r="U56" t="s">
        <v>96</v>
      </c>
    </row>
    <row r="57" spans="5:21" x14ac:dyDescent="0.3">
      <c r="E57" s="7" t="s">
        <v>38</v>
      </c>
      <c r="F57" s="8">
        <v>3145.89</v>
      </c>
      <c r="G57" s="8">
        <v>2051.19</v>
      </c>
      <c r="H57" s="10">
        <f>+F57/$F$75</f>
        <v>8.7261437306595149E-2</v>
      </c>
      <c r="I57" s="10">
        <f>+G57/$G$75</f>
        <v>8.5014151825106743E-2</v>
      </c>
      <c r="K57" s="7" t="s">
        <v>54</v>
      </c>
      <c r="L57" s="18">
        <v>3014.89</v>
      </c>
      <c r="M57" s="18">
        <v>2116.7199999999998</v>
      </c>
      <c r="N57" s="19">
        <f>+L57/$L$78</f>
        <v>7.5932957944703172E-2</v>
      </c>
      <c r="O57" s="19">
        <f>+M57/$M$78</f>
        <v>7.9803499829400729E-2</v>
      </c>
      <c r="Q57" s="7" t="s">
        <v>52</v>
      </c>
      <c r="R57" s="8">
        <v>3519.14</v>
      </c>
      <c r="S57" s="8">
        <v>2357.84</v>
      </c>
      <c r="T57" s="10">
        <f>+R57/$R$78</f>
        <v>8.4574442134901798E-2</v>
      </c>
      <c r="U57" s="10">
        <f>+S57/$S$78</f>
        <v>8.5824774539980025E-2</v>
      </c>
    </row>
    <row r="58" spans="5:21" x14ac:dyDescent="0.3">
      <c r="E58" s="7" t="s">
        <v>63</v>
      </c>
      <c r="F58" s="8">
        <v>2716.28</v>
      </c>
      <c r="G58" s="8">
        <v>1850.91</v>
      </c>
      <c r="H58" s="10">
        <f t="shared" ref="H58:H75" si="3">+F58/$F$75</f>
        <v>7.5344814004036476E-2</v>
      </c>
      <c r="I58" s="10">
        <f t="shared" ref="I58:I75" si="4">+G58/$G$75</f>
        <v>7.6713295089488695E-2</v>
      </c>
      <c r="K58" s="7" t="s">
        <v>50</v>
      </c>
      <c r="L58" s="18">
        <v>2874.3</v>
      </c>
      <c r="M58" s="18">
        <v>1888.83</v>
      </c>
      <c r="N58" s="19">
        <f t="shared" ref="N58:N78" si="5">+L58/$L$78</f>
        <v>7.2392061077007908E-2</v>
      </c>
      <c r="O58" s="19">
        <f t="shared" ref="O58:O78" si="6">+M58/$M$78</f>
        <v>7.121170706695594E-2</v>
      </c>
      <c r="Q58" s="7" t="s">
        <v>48</v>
      </c>
      <c r="R58" s="8">
        <v>3028.52</v>
      </c>
      <c r="S58" s="8">
        <v>1986.42</v>
      </c>
      <c r="T58" s="10">
        <f t="shared" ref="T58:T78" si="7">+R58/$R$78</f>
        <v>7.2783517988597446E-2</v>
      </c>
      <c r="U58" s="10">
        <f t="shared" ref="U58:U78" si="8">+S58/$S$78</f>
        <v>7.2305181285289552E-2</v>
      </c>
    </row>
    <row r="59" spans="5:21" x14ac:dyDescent="0.3">
      <c r="E59" s="7" t="s">
        <v>61</v>
      </c>
      <c r="F59" s="8">
        <v>2660.71</v>
      </c>
      <c r="G59" s="8">
        <v>1712.68</v>
      </c>
      <c r="H59" s="10">
        <f t="shared" si="3"/>
        <v>7.3803400263846103E-2</v>
      </c>
      <c r="I59" s="10">
        <f t="shared" si="4"/>
        <v>7.0984178719584151E-2</v>
      </c>
      <c r="K59" s="7" t="s">
        <v>67</v>
      </c>
      <c r="L59" s="18">
        <v>2659.7</v>
      </c>
      <c r="M59" s="18">
        <v>1805.12</v>
      </c>
      <c r="N59" s="19">
        <f t="shared" si="5"/>
        <v>6.6987149861363782E-2</v>
      </c>
      <c r="O59" s="19">
        <f t="shared" si="6"/>
        <v>6.8055715263260069E-2</v>
      </c>
      <c r="Q59" s="7" t="s">
        <v>74</v>
      </c>
      <c r="R59" s="8">
        <v>2662.03</v>
      </c>
      <c r="S59" s="8">
        <v>1698.68</v>
      </c>
      <c r="T59" s="10">
        <f t="shared" si="7"/>
        <v>6.3975773113991677E-2</v>
      </c>
      <c r="U59" s="10">
        <f t="shared" si="8"/>
        <v>6.1831518684717056E-2</v>
      </c>
    </row>
    <row r="60" spans="5:21" x14ac:dyDescent="0.3">
      <c r="E60" s="7" t="s">
        <v>59</v>
      </c>
      <c r="F60" s="8">
        <v>2621.5</v>
      </c>
      <c r="G60" s="8">
        <v>1652.49</v>
      </c>
      <c r="H60" s="10">
        <f t="shared" si="3"/>
        <v>7.2715784054508958E-2</v>
      </c>
      <c r="I60" s="10">
        <f t="shared" si="4"/>
        <v>6.8489528395453692E-2</v>
      </c>
      <c r="K60" s="7" t="s">
        <v>46</v>
      </c>
      <c r="L60" s="18">
        <v>2608.54</v>
      </c>
      <c r="M60" s="18">
        <v>1762.65</v>
      </c>
      <c r="N60" s="19">
        <f t="shared" si="5"/>
        <v>6.5698635146581141E-2</v>
      </c>
      <c r="O60" s="19">
        <f t="shared" si="6"/>
        <v>6.6454532944505276E-2</v>
      </c>
      <c r="Q60" s="7" t="s">
        <v>56</v>
      </c>
      <c r="R60" s="8">
        <v>2488.06</v>
      </c>
      <c r="S60" s="8">
        <v>1677.57</v>
      </c>
      <c r="T60" s="10">
        <f t="shared" si="7"/>
        <v>5.9794803985679393E-2</v>
      </c>
      <c r="U60" s="10">
        <f t="shared" si="8"/>
        <v>6.1063120069654545E-2</v>
      </c>
    </row>
    <row r="61" spans="5:21" x14ac:dyDescent="0.3">
      <c r="E61" s="7" t="s">
        <v>67</v>
      </c>
      <c r="F61" s="8">
        <v>2321.8200000000002</v>
      </c>
      <c r="G61" s="8">
        <v>1536.61</v>
      </c>
      <c r="H61" s="10">
        <f t="shared" si="3"/>
        <v>6.4403189675163078E-2</v>
      </c>
      <c r="I61" s="10">
        <f t="shared" si="4"/>
        <v>6.3686735912312983E-2</v>
      </c>
      <c r="K61" s="7" t="s">
        <v>59</v>
      </c>
      <c r="L61" s="18">
        <v>2566.2600000000002</v>
      </c>
      <c r="M61" s="18">
        <v>1681.25</v>
      </c>
      <c r="N61" s="19">
        <f t="shared" si="5"/>
        <v>6.4633771930376893E-2</v>
      </c>
      <c r="O61" s="19">
        <f t="shared" si="6"/>
        <v>6.3385631584801011E-2</v>
      </c>
      <c r="Q61" s="7" t="s">
        <v>76</v>
      </c>
      <c r="R61" s="8">
        <v>2414.0500000000002</v>
      </c>
      <c r="S61" s="8">
        <v>1631.71</v>
      </c>
      <c r="T61" s="10">
        <f t="shared" si="7"/>
        <v>5.801614372709233E-2</v>
      </c>
      <c r="U61" s="10">
        <f t="shared" si="8"/>
        <v>5.9393827768054998E-2</v>
      </c>
    </row>
    <row r="62" spans="5:21" x14ac:dyDescent="0.3">
      <c r="E62" s="7" t="s">
        <v>48</v>
      </c>
      <c r="F62" s="8">
        <v>2287.94</v>
      </c>
      <c r="G62" s="8">
        <v>1516.48</v>
      </c>
      <c r="H62" s="10">
        <f t="shared" si="3"/>
        <v>6.3463418260413212E-2</v>
      </c>
      <c r="I62" s="10">
        <f t="shared" si="4"/>
        <v>6.2852422720341791E-2</v>
      </c>
      <c r="K62" s="7" t="s">
        <v>34</v>
      </c>
      <c r="L62" s="18">
        <v>2486.7399999999998</v>
      </c>
      <c r="M62" s="18">
        <v>1604.47</v>
      </c>
      <c r="N62" s="19">
        <f t="shared" si="5"/>
        <v>6.2630982834999349E-2</v>
      </c>
      <c r="O62" s="19">
        <f t="shared" si="6"/>
        <v>6.0490911113079956E-2</v>
      </c>
      <c r="Q62" s="7" t="s">
        <v>63</v>
      </c>
      <c r="R62" s="8">
        <v>2090.92</v>
      </c>
      <c r="S62" s="8">
        <v>1484.15</v>
      </c>
      <c r="T62" s="10">
        <f t="shared" si="7"/>
        <v>5.0250456801579045E-2</v>
      </c>
      <c r="U62" s="10">
        <f t="shared" si="8"/>
        <v>5.4022681409048687E-2</v>
      </c>
    </row>
    <row r="63" spans="5:21" x14ac:dyDescent="0.3">
      <c r="E63" s="7" t="s">
        <v>56</v>
      </c>
      <c r="F63" s="8">
        <v>2089.9899999999998</v>
      </c>
      <c r="G63" s="8">
        <v>1446.31</v>
      </c>
      <c r="H63" s="10">
        <f t="shared" si="3"/>
        <v>5.7972634566501306E-2</v>
      </c>
      <c r="I63" s="10">
        <f t="shared" si="4"/>
        <v>5.9944138732233546E-2</v>
      </c>
      <c r="K63" s="7" t="s">
        <v>61</v>
      </c>
      <c r="L63" s="18">
        <v>2188.38</v>
      </c>
      <c r="M63" s="18">
        <v>1469.46</v>
      </c>
      <c r="N63" s="19">
        <f t="shared" si="5"/>
        <v>5.5116493970602427E-2</v>
      </c>
      <c r="O63" s="19">
        <f t="shared" si="6"/>
        <v>5.5400832825934089E-2</v>
      </c>
      <c r="Q63" s="7" t="s">
        <v>38</v>
      </c>
      <c r="R63" s="8">
        <v>2006.13</v>
      </c>
      <c r="S63" s="8">
        <v>1447.83</v>
      </c>
      <c r="T63" s="10">
        <f t="shared" si="7"/>
        <v>4.8212724017825538E-2</v>
      </c>
      <c r="U63" s="10">
        <f t="shared" si="8"/>
        <v>5.2700642673896139E-2</v>
      </c>
    </row>
    <row r="64" spans="5:21" x14ac:dyDescent="0.3">
      <c r="E64" s="7" t="s">
        <v>42</v>
      </c>
      <c r="F64" s="8">
        <v>2044.87</v>
      </c>
      <c r="G64" s="8">
        <v>1395.11</v>
      </c>
      <c r="H64" s="10">
        <f t="shared" si="3"/>
        <v>5.6721085386055213E-2</v>
      </c>
      <c r="I64" s="10">
        <f t="shared" si="4"/>
        <v>5.7822090275754398E-2</v>
      </c>
      <c r="K64" s="7" t="s">
        <v>76</v>
      </c>
      <c r="L64" s="18">
        <v>2033.79</v>
      </c>
      <c r="M64" s="18">
        <v>1377.65</v>
      </c>
      <c r="N64" s="19">
        <f t="shared" si="5"/>
        <v>5.1222993388932228E-2</v>
      </c>
      <c r="O64" s="19">
        <f t="shared" si="6"/>
        <v>5.1939458945904009E-2</v>
      </c>
      <c r="Q64" s="7" t="s">
        <v>61</v>
      </c>
      <c r="R64" s="8">
        <v>2203.98</v>
      </c>
      <c r="S64" s="8">
        <v>1442.59</v>
      </c>
      <c r="T64" s="10">
        <f t="shared" si="7"/>
        <v>5.2967594064595579E-2</v>
      </c>
      <c r="U64" s="10">
        <f t="shared" si="8"/>
        <v>5.2509908010564654E-2</v>
      </c>
    </row>
    <row r="65" spans="5:21" x14ac:dyDescent="0.3">
      <c r="E65" s="7" t="s">
        <v>34</v>
      </c>
      <c r="F65" s="8">
        <v>1938.59</v>
      </c>
      <c r="G65" s="8">
        <v>1329.26</v>
      </c>
      <c r="H65" s="10">
        <f t="shared" si="3"/>
        <v>5.3773065729632093E-2</v>
      </c>
      <c r="I65" s="10">
        <f t="shared" si="4"/>
        <v>5.5092854126161592E-2</v>
      </c>
      <c r="K65" s="7" t="s">
        <v>48</v>
      </c>
      <c r="L65" s="18">
        <v>2147.8000000000002</v>
      </c>
      <c r="M65" s="18">
        <v>1354.1</v>
      </c>
      <c r="N65" s="19">
        <f t="shared" si="5"/>
        <v>5.4094446919666556E-2</v>
      </c>
      <c r="O65" s="19">
        <f t="shared" si="6"/>
        <v>5.1051588835080472E-2</v>
      </c>
      <c r="Q65" s="7" t="s">
        <v>34</v>
      </c>
      <c r="R65" s="8">
        <v>2057.58</v>
      </c>
      <c r="S65" s="8">
        <v>1385.23</v>
      </c>
      <c r="T65" s="10">
        <f t="shared" si="7"/>
        <v>4.9449206524301743E-2</v>
      </c>
      <c r="U65" s="10">
        <f t="shared" si="8"/>
        <v>5.0422018642493349E-2</v>
      </c>
    </row>
    <row r="66" spans="5:21" x14ac:dyDescent="0.3">
      <c r="E66" s="7" t="s">
        <v>40</v>
      </c>
      <c r="F66" s="8">
        <v>1856.21</v>
      </c>
      <c r="G66" s="8">
        <v>1283.54</v>
      </c>
      <c r="H66" s="10">
        <f t="shared" si="3"/>
        <v>5.1487989898844205E-2</v>
      </c>
      <c r="I66" s="10">
        <f t="shared" si="4"/>
        <v>5.3197931168539971E-2</v>
      </c>
      <c r="K66" s="7" t="s">
        <v>40</v>
      </c>
      <c r="L66" s="18">
        <v>1895.55</v>
      </c>
      <c r="M66" s="18">
        <v>1307.8699999999999</v>
      </c>
      <c r="N66" s="19">
        <f t="shared" si="5"/>
        <v>4.7741283573225594E-2</v>
      </c>
      <c r="O66" s="19">
        <f t="shared" si="6"/>
        <v>4.9308648910521155E-2</v>
      </c>
      <c r="Q66" s="7" t="s">
        <v>42</v>
      </c>
      <c r="R66" s="8">
        <v>2047.08</v>
      </c>
      <c r="S66" s="8">
        <v>1355.48</v>
      </c>
      <c r="T66" s="10">
        <f t="shared" si="7"/>
        <v>4.9196863155633132E-2</v>
      </c>
      <c r="U66" s="10">
        <f t="shared" si="8"/>
        <v>4.9339126231403366E-2</v>
      </c>
    </row>
    <row r="67" spans="5:21" x14ac:dyDescent="0.3">
      <c r="E67" s="7" t="s">
        <v>50</v>
      </c>
      <c r="F67" s="8">
        <v>1871.83</v>
      </c>
      <c r="G67" s="8">
        <v>1273.82</v>
      </c>
      <c r="H67" s="10">
        <f t="shared" si="3"/>
        <v>5.1921261135514596E-2</v>
      </c>
      <c r="I67" s="10">
        <f t="shared" si="4"/>
        <v>5.279507353188026E-2</v>
      </c>
      <c r="K67" s="7" t="s">
        <v>69</v>
      </c>
      <c r="L67" s="18">
        <v>1865.55</v>
      </c>
      <c r="M67" s="18">
        <v>1264.1500000000001</v>
      </c>
      <c r="N67" s="19">
        <f t="shared" si="5"/>
        <v>4.6985704186136477E-2</v>
      </c>
      <c r="O67" s="19">
        <f t="shared" si="6"/>
        <v>4.7660339728134542E-2</v>
      </c>
      <c r="Q67" s="7" t="s">
        <v>59</v>
      </c>
      <c r="R67" s="8">
        <v>1945.29</v>
      </c>
      <c r="S67" s="8">
        <v>1259.8900000000001</v>
      </c>
      <c r="T67" s="10">
        <f t="shared" si="7"/>
        <v>4.6750574441654244E-2</v>
      </c>
      <c r="U67" s="10">
        <f t="shared" si="8"/>
        <v>4.5859674615400296E-2</v>
      </c>
    </row>
    <row r="68" spans="5:21" x14ac:dyDescent="0.3">
      <c r="E68" s="7" t="s">
        <v>44</v>
      </c>
      <c r="F68" s="8">
        <v>1757.25</v>
      </c>
      <c r="G68" s="8">
        <v>1210.79</v>
      </c>
      <c r="H68" s="10">
        <f t="shared" si="3"/>
        <v>4.8743014125418989E-2</v>
      </c>
      <c r="I68" s="10">
        <f t="shared" si="4"/>
        <v>5.0182715832429461E-2</v>
      </c>
      <c r="K68" s="7" t="s">
        <v>38</v>
      </c>
      <c r="L68" s="18">
        <v>1879.46</v>
      </c>
      <c r="M68" s="18">
        <v>1256.6199999999999</v>
      </c>
      <c r="N68" s="19">
        <f t="shared" si="5"/>
        <v>4.7336041161950136E-2</v>
      </c>
      <c r="O68" s="19">
        <f t="shared" si="6"/>
        <v>4.7376447501616438E-2</v>
      </c>
      <c r="Q68" s="7" t="s">
        <v>50</v>
      </c>
      <c r="R68" s="8">
        <v>1770.02</v>
      </c>
      <c r="S68" s="8">
        <v>1246.3599999999999</v>
      </c>
      <c r="T68" s="10">
        <f t="shared" si="7"/>
        <v>4.253836280103062E-2</v>
      </c>
      <c r="U68" s="10">
        <f t="shared" si="8"/>
        <v>4.5367186066760039E-2</v>
      </c>
    </row>
    <row r="69" spans="5:21" x14ac:dyDescent="0.3">
      <c r="E69" s="7" t="s">
        <v>54</v>
      </c>
      <c r="F69" s="8">
        <v>1763.72</v>
      </c>
      <c r="G69" s="8">
        <v>1151.96</v>
      </c>
      <c r="H69" s="10">
        <f t="shared" si="3"/>
        <v>4.8922480508341998E-2</v>
      </c>
      <c r="I69" s="10">
        <f t="shared" si="4"/>
        <v>4.7744432420424227E-2</v>
      </c>
      <c r="K69" s="7" t="s">
        <v>65</v>
      </c>
      <c r="L69" s="18">
        <v>1667.07</v>
      </c>
      <c r="M69" s="18">
        <v>1151.23</v>
      </c>
      <c r="N69" s="19">
        <f t="shared" si="5"/>
        <v>4.1986790961154909E-2</v>
      </c>
      <c r="O69" s="19">
        <f t="shared" si="6"/>
        <v>4.3403087375090244E-2</v>
      </c>
      <c r="Q69" s="7" t="s">
        <v>71</v>
      </c>
      <c r="R69" s="8">
        <v>2004.1</v>
      </c>
      <c r="S69" s="8">
        <v>1203.22</v>
      </c>
      <c r="T69" s="10">
        <f t="shared" si="7"/>
        <v>4.8163937633216268E-2</v>
      </c>
      <c r="U69" s="10">
        <f t="shared" si="8"/>
        <v>4.3796901071317292E-2</v>
      </c>
    </row>
    <row r="70" spans="5:21" x14ac:dyDescent="0.3">
      <c r="E70" s="7" t="s">
        <v>65</v>
      </c>
      <c r="F70" s="8">
        <v>1559.57</v>
      </c>
      <c r="G70" s="8">
        <v>1059.8599999999999</v>
      </c>
      <c r="H70" s="10">
        <f t="shared" si="3"/>
        <v>4.3259719755060287E-2</v>
      </c>
      <c r="I70" s="10">
        <f t="shared" si="4"/>
        <v>4.3927231974296689E-2</v>
      </c>
      <c r="K70" s="7" t="s">
        <v>56</v>
      </c>
      <c r="L70" s="18">
        <v>1565.43</v>
      </c>
      <c r="M70" s="18">
        <v>1043.6600000000001</v>
      </c>
      <c r="N70" s="19">
        <f t="shared" si="5"/>
        <v>3.9426887997696995E-2</v>
      </c>
      <c r="O70" s="19">
        <f t="shared" si="6"/>
        <v>3.9347537998390143E-2</v>
      </c>
      <c r="Q70" s="7" t="s">
        <v>67</v>
      </c>
      <c r="R70" s="8">
        <v>1765.83</v>
      </c>
      <c r="S70" s="8">
        <v>1199.5</v>
      </c>
      <c r="T70" s="10">
        <f t="shared" si="7"/>
        <v>4.2437665780580947E-2</v>
      </c>
      <c r="U70" s="10">
        <f t="shared" si="8"/>
        <v>4.3661494020249901E-2</v>
      </c>
    </row>
    <row r="71" spans="5:21" x14ac:dyDescent="0.3">
      <c r="E71" s="7" t="s">
        <v>46</v>
      </c>
      <c r="F71" s="8">
        <v>1511.39</v>
      </c>
      <c r="G71" s="8">
        <v>1018.57</v>
      </c>
      <c r="H71" s="10">
        <f t="shared" si="3"/>
        <v>4.1923291574344573E-2</v>
      </c>
      <c r="I71" s="10">
        <f t="shared" si="4"/>
        <v>4.2215915943671224E-2</v>
      </c>
      <c r="K71" s="7" t="s">
        <v>71</v>
      </c>
      <c r="L71" s="18">
        <v>1538.32</v>
      </c>
      <c r="M71" s="18">
        <v>1039.19</v>
      </c>
      <c r="N71" s="19">
        <f t="shared" si="5"/>
        <v>3.874409609156413E-2</v>
      </c>
      <c r="O71" s="19">
        <f t="shared" si="6"/>
        <v>3.9179012334042744E-2</v>
      </c>
      <c r="Q71" s="7" t="s">
        <v>46</v>
      </c>
      <c r="R71" s="8">
        <v>1888.53</v>
      </c>
      <c r="S71" s="8">
        <v>1186.3399999999999</v>
      </c>
      <c r="T71" s="10">
        <f t="shared" si="7"/>
        <v>4.5386478288737049E-2</v>
      </c>
      <c r="U71" s="10">
        <f t="shared" si="8"/>
        <v>4.3182473377226568E-2</v>
      </c>
    </row>
    <row r="72" spans="5:21" x14ac:dyDescent="0.3">
      <c r="E72" s="7" t="s">
        <v>69</v>
      </c>
      <c r="F72" s="8">
        <v>1308.51</v>
      </c>
      <c r="G72" s="8">
        <v>885.05</v>
      </c>
      <c r="H72" s="10">
        <f t="shared" si="3"/>
        <v>3.6295758379998294E-2</v>
      </c>
      <c r="I72" s="10">
        <f t="shared" si="4"/>
        <v>3.6682011453259188E-2</v>
      </c>
      <c r="K72" s="7" t="s">
        <v>74</v>
      </c>
      <c r="L72" s="18">
        <v>1654.27</v>
      </c>
      <c r="M72" s="18">
        <v>1001.97</v>
      </c>
      <c r="N72" s="19">
        <f t="shared" si="5"/>
        <v>4.1664410422663556E-2</v>
      </c>
      <c r="O72" s="19">
        <f t="shared" si="6"/>
        <v>3.7775762842541603E-2</v>
      </c>
      <c r="Q72" s="7" t="s">
        <v>44</v>
      </c>
      <c r="R72" s="8">
        <v>1579.66</v>
      </c>
      <c r="S72" s="8">
        <v>1018.58</v>
      </c>
      <c r="T72" s="10">
        <f t="shared" si="7"/>
        <v>3.7963497690577525E-2</v>
      </c>
      <c r="U72" s="10">
        <f t="shared" si="8"/>
        <v>3.7076052171026386E-2</v>
      </c>
    </row>
    <row r="73" spans="5:21" x14ac:dyDescent="0.3">
      <c r="E73" s="7" t="s">
        <v>52</v>
      </c>
      <c r="F73" s="8">
        <v>1287.3</v>
      </c>
      <c r="G73" s="8">
        <v>880.29</v>
      </c>
      <c r="H73" s="10">
        <f t="shared" si="3"/>
        <v>3.5707430407541249E-2</v>
      </c>
      <c r="I73" s="10">
        <f t="shared" si="4"/>
        <v>3.6484727260820894E-2</v>
      </c>
      <c r="K73" s="7" t="s">
        <v>63</v>
      </c>
      <c r="L73" s="18">
        <v>1356.83</v>
      </c>
      <c r="M73" s="18">
        <v>939.15</v>
      </c>
      <c r="N73" s="19">
        <f t="shared" si="5"/>
        <v>3.4173092659470695E-2</v>
      </c>
      <c r="O73" s="19">
        <f t="shared" si="6"/>
        <v>3.5407355183860741E-2</v>
      </c>
      <c r="Q73" s="7" t="s">
        <v>54</v>
      </c>
      <c r="R73" s="8">
        <v>1622.59</v>
      </c>
      <c r="S73" s="8">
        <v>1007.89</v>
      </c>
      <c r="T73" s="10">
        <f t="shared" si="7"/>
        <v>3.8995221577905484E-2</v>
      </c>
      <c r="U73" s="10">
        <f t="shared" si="8"/>
        <v>3.6686938897932203E-2</v>
      </c>
    </row>
    <row r="74" spans="5:21" x14ac:dyDescent="0.3">
      <c r="E74" s="7" t="s">
        <v>71</v>
      </c>
      <c r="F74" s="8">
        <v>1307.95</v>
      </c>
      <c r="G74" s="8">
        <v>872.71</v>
      </c>
      <c r="H74" s="10">
        <f t="shared" si="3"/>
        <v>3.6280224968184248E-2</v>
      </c>
      <c r="I74" s="10">
        <f t="shared" si="4"/>
        <v>3.6170564618240586E-2</v>
      </c>
      <c r="K74" s="7" t="s">
        <v>78</v>
      </c>
      <c r="L74" s="18">
        <v>1218.98</v>
      </c>
      <c r="M74" s="18">
        <v>802.24</v>
      </c>
      <c r="N74" s="19">
        <f t="shared" si="5"/>
        <v>3.0701205375796226E-2</v>
      </c>
      <c r="O74" s="19">
        <f t="shared" si="6"/>
        <v>3.0245644063994506E-2</v>
      </c>
      <c r="Q74" s="7" t="s">
        <v>69</v>
      </c>
      <c r="R74" s="8">
        <v>1472.84</v>
      </c>
      <c r="S74" s="8">
        <v>961.46</v>
      </c>
      <c r="T74" s="10">
        <f t="shared" si="7"/>
        <v>3.539632448665548E-2</v>
      </c>
      <c r="U74" s="10">
        <f t="shared" si="8"/>
        <v>3.4996898741733617E-2</v>
      </c>
    </row>
    <row r="75" spans="5:21" x14ac:dyDescent="0.3">
      <c r="E75" s="7" t="s">
        <v>91</v>
      </c>
      <c r="F75" s="8">
        <v>36051.32</v>
      </c>
      <c r="G75" s="8">
        <v>24127.629999999997</v>
      </c>
      <c r="H75" s="10">
        <f t="shared" si="3"/>
        <v>1</v>
      </c>
      <c r="I75" s="10">
        <f t="shared" si="4"/>
        <v>1</v>
      </c>
      <c r="K75" s="7" t="s">
        <v>44</v>
      </c>
      <c r="L75" s="18">
        <v>1095.25</v>
      </c>
      <c r="M75" s="18">
        <v>739.34</v>
      </c>
      <c r="N75" s="19">
        <f t="shared" si="5"/>
        <v>2.7584944123645028E-2</v>
      </c>
      <c r="O75" s="19">
        <f t="shared" si="6"/>
        <v>2.7874220286041206E-2</v>
      </c>
      <c r="Q75" s="7" t="s">
        <v>40</v>
      </c>
      <c r="R75" s="8">
        <v>1129.21</v>
      </c>
      <c r="S75" s="8">
        <v>686.08</v>
      </c>
      <c r="T75" s="10">
        <f t="shared" si="7"/>
        <v>2.7137967174693949E-2</v>
      </c>
      <c r="U75" s="10">
        <f t="shared" si="8"/>
        <v>2.4973136988255987E-2</v>
      </c>
    </row>
    <row r="76" spans="5:21" x14ac:dyDescent="0.3">
      <c r="H76" s="10"/>
      <c r="I76" s="10"/>
      <c r="K76" s="7" t="s">
        <v>52</v>
      </c>
      <c r="L76" s="18">
        <v>748.01</v>
      </c>
      <c r="M76" s="18">
        <v>480.9</v>
      </c>
      <c r="N76" s="19">
        <f t="shared" si="5"/>
        <v>1.8839364577884241E-2</v>
      </c>
      <c r="O76" s="19">
        <f t="shared" si="6"/>
        <v>1.813064697643468E-2</v>
      </c>
      <c r="Q76" s="7" t="s">
        <v>65</v>
      </c>
      <c r="R76" s="8">
        <v>1009.77</v>
      </c>
      <c r="S76" s="8">
        <v>653.17999999999995</v>
      </c>
      <c r="T76" s="10">
        <f t="shared" si="7"/>
        <v>2.4267501274334011E-2</v>
      </c>
      <c r="U76" s="10">
        <f t="shared" si="8"/>
        <v>2.3775585380697649E-2</v>
      </c>
    </row>
    <row r="77" spans="5:21" x14ac:dyDescent="0.3">
      <c r="H77" s="10"/>
      <c r="I77" s="10"/>
      <c r="K77" s="7" t="s">
        <v>42</v>
      </c>
      <c r="L77" s="18">
        <v>639.51</v>
      </c>
      <c r="M77" s="18">
        <v>437.58</v>
      </c>
      <c r="N77" s="19">
        <f t="shared" si="5"/>
        <v>1.6106685794578617E-2</v>
      </c>
      <c r="O77" s="19">
        <f t="shared" si="6"/>
        <v>1.6497418390410246E-2</v>
      </c>
      <c r="Q77" s="7" t="s">
        <v>78</v>
      </c>
      <c r="R77" s="8">
        <v>904.64</v>
      </c>
      <c r="S77" s="8">
        <v>582.72</v>
      </c>
      <c r="T77" s="10">
        <f t="shared" si="7"/>
        <v>2.1740943336416726E-2</v>
      </c>
      <c r="U77" s="10">
        <f t="shared" si="8"/>
        <v>2.1210859354297645E-2</v>
      </c>
    </row>
    <row r="78" spans="5:21" x14ac:dyDescent="0.3">
      <c r="H78" s="10"/>
      <c r="I78" s="10"/>
      <c r="K78" s="7" t="s">
        <v>91</v>
      </c>
      <c r="L78" s="18">
        <v>39704.629999999997</v>
      </c>
      <c r="M78" s="18">
        <v>26524.150000000005</v>
      </c>
      <c r="N78" s="19">
        <f t="shared" si="5"/>
        <v>1</v>
      </c>
      <c r="O78" s="19">
        <f t="shared" si="6"/>
        <v>1</v>
      </c>
      <c r="Q78" s="7" t="s">
        <v>91</v>
      </c>
      <c r="R78" s="8">
        <v>41609.97</v>
      </c>
      <c r="S78" s="8">
        <v>27472.720000000001</v>
      </c>
      <c r="T78" s="10">
        <f t="shared" si="7"/>
        <v>1</v>
      </c>
      <c r="U78" s="10">
        <f t="shared" si="8"/>
        <v>1</v>
      </c>
    </row>
    <row r="81" spans="11:11" x14ac:dyDescent="0.3">
      <c r="K81" s="7" t="s">
        <v>38</v>
      </c>
    </row>
    <row r="82" spans="11:11" x14ac:dyDescent="0.3">
      <c r="K82" s="7" t="s">
        <v>63</v>
      </c>
    </row>
    <row r="83" spans="11:11" x14ac:dyDescent="0.3">
      <c r="K83" s="7" t="s">
        <v>61</v>
      </c>
    </row>
    <row r="84" spans="11:11" x14ac:dyDescent="0.3">
      <c r="K84" s="7" t="s">
        <v>59</v>
      </c>
    </row>
    <row r="85" spans="11:11" x14ac:dyDescent="0.3">
      <c r="K85" s="7" t="s">
        <v>67</v>
      </c>
    </row>
    <row r="86" spans="11:11" x14ac:dyDescent="0.3">
      <c r="K86" s="7" t="s">
        <v>48</v>
      </c>
    </row>
    <row r="87" spans="11:11" x14ac:dyDescent="0.3">
      <c r="K87" s="7" t="s">
        <v>56</v>
      </c>
    </row>
    <row r="88" spans="11:11" x14ac:dyDescent="0.3">
      <c r="K88" s="7" t="s">
        <v>42</v>
      </c>
    </row>
    <row r="89" spans="11:11" x14ac:dyDescent="0.3">
      <c r="K89" s="7" t="s">
        <v>34</v>
      </c>
    </row>
    <row r="90" spans="11:11" x14ac:dyDescent="0.3">
      <c r="K90" s="7" t="s">
        <v>40</v>
      </c>
    </row>
    <row r="91" spans="11:11" x14ac:dyDescent="0.3">
      <c r="K91" s="7" t="s">
        <v>50</v>
      </c>
    </row>
    <row r="92" spans="11:11" x14ac:dyDescent="0.3">
      <c r="K92" s="7" t="s">
        <v>44</v>
      </c>
    </row>
    <row r="93" spans="11:11" x14ac:dyDescent="0.3">
      <c r="K93" s="7" t="s">
        <v>54</v>
      </c>
    </row>
    <row r="94" spans="11:11" x14ac:dyDescent="0.3">
      <c r="K94" s="7" t="s">
        <v>65</v>
      </c>
    </row>
    <row r="95" spans="11:11" x14ac:dyDescent="0.3">
      <c r="K95" s="7" t="s">
        <v>46</v>
      </c>
    </row>
    <row r="96" spans="11:11" x14ac:dyDescent="0.3">
      <c r="K96" s="7" t="s">
        <v>69</v>
      </c>
    </row>
    <row r="97" spans="11:11" x14ac:dyDescent="0.3">
      <c r="K97" s="7" t="s">
        <v>52</v>
      </c>
    </row>
    <row r="98" spans="11:11" x14ac:dyDescent="0.3">
      <c r="K98" s="7" t="s">
        <v>71</v>
      </c>
    </row>
  </sheetData>
  <conditionalFormatting sqref="K1:K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003F-1DD9-4147-8A15-7E6C724C2E51}">
  <dimension ref="F14:U36"/>
  <sheetViews>
    <sheetView zoomScale="85" zoomScaleNormal="85" workbookViewId="0">
      <selection activeCell="B46" sqref="B46"/>
    </sheetView>
  </sheetViews>
  <sheetFormatPr baseColWidth="10" defaultColWidth="11.6640625" defaultRowHeight="14.4" x14ac:dyDescent="0.3"/>
  <cols>
    <col min="6" max="6" width="14.5546875" bestFit="1" customWidth="1"/>
    <col min="7" max="7" width="10.88671875" bestFit="1" customWidth="1"/>
    <col min="8" max="8" width="11.88671875" bestFit="1" customWidth="1"/>
    <col min="9" max="9" width="13.77734375" bestFit="1" customWidth="1"/>
    <col min="10" max="10" width="14.88671875" bestFit="1" customWidth="1"/>
    <col min="11" max="11" width="11.109375" bestFit="1" customWidth="1"/>
    <col min="12" max="12" width="14.88671875" bestFit="1" customWidth="1"/>
    <col min="13" max="14" width="8.21875" bestFit="1" customWidth="1"/>
    <col min="15" max="16" width="4.5546875" bestFit="1" customWidth="1"/>
    <col min="18" max="18" width="37.44140625" bestFit="1" customWidth="1"/>
    <col min="19" max="19" width="3.44140625" bestFit="1" customWidth="1"/>
    <col min="20" max="20" width="12" bestFit="1" customWidth="1"/>
    <col min="21" max="21" width="13.77734375" bestFit="1" customWidth="1"/>
  </cols>
  <sheetData>
    <row r="14" spans="6:12" x14ac:dyDescent="0.3">
      <c r="F14" s="12" t="s">
        <v>2</v>
      </c>
      <c r="G14" s="12" t="s">
        <v>17</v>
      </c>
      <c r="H14" s="12" t="s">
        <v>101</v>
      </c>
      <c r="I14" s="12" t="s">
        <v>95</v>
      </c>
      <c r="J14" s="12" t="s">
        <v>96</v>
      </c>
      <c r="K14" s="12" t="s">
        <v>95</v>
      </c>
      <c r="L14" s="12" t="s">
        <v>96</v>
      </c>
    </row>
    <row r="15" spans="6:12" x14ac:dyDescent="0.3">
      <c r="F15" s="20" t="s">
        <v>36</v>
      </c>
      <c r="G15" s="13">
        <v>36051.32</v>
      </c>
      <c r="H15" s="13">
        <v>24127.629999999997</v>
      </c>
      <c r="I15" s="14">
        <v>0.30717025862362773</v>
      </c>
      <c r="J15" s="14">
        <v>0.30883564054809948</v>
      </c>
    </row>
    <row r="16" spans="6:12" x14ac:dyDescent="0.3">
      <c r="F16" s="20" t="s">
        <v>73</v>
      </c>
      <c r="G16" s="13">
        <v>39704.629999999997</v>
      </c>
      <c r="H16" s="13">
        <v>26524.150000000005</v>
      </c>
      <c r="I16" s="14">
        <v>0.33829777843517095</v>
      </c>
      <c r="J16" s="14">
        <v>0.33951129287227444</v>
      </c>
    </row>
    <row r="17" spans="6:21" x14ac:dyDescent="0.3">
      <c r="F17" s="20" t="s">
        <v>81</v>
      </c>
      <c r="G17" s="13">
        <v>41609.97</v>
      </c>
      <c r="H17" s="13">
        <v>27472.720000000001</v>
      </c>
      <c r="I17" s="14">
        <v>0.35453196294120137</v>
      </c>
      <c r="J17" s="14">
        <v>0.35165306657962614</v>
      </c>
      <c r="K17" s="3">
        <f>+I17-I15</f>
        <v>4.7361704317573639E-2</v>
      </c>
      <c r="L17" s="3">
        <f>+J17-J15</f>
        <v>4.2817426031526662E-2</v>
      </c>
      <c r="M17" s="8">
        <f>+G17-G15</f>
        <v>5558.6500000000015</v>
      </c>
      <c r="N17" s="8">
        <f>+H17-H15</f>
        <v>3345.0900000000038</v>
      </c>
      <c r="O17" s="10">
        <f>+M17/G17</f>
        <v>0.13358937773807578</v>
      </c>
      <c r="P17" s="10">
        <f>+N17/H17</f>
        <v>0.12176042270295782</v>
      </c>
    </row>
    <row r="18" spans="6:21" x14ac:dyDescent="0.3">
      <c r="F18" s="12" t="s">
        <v>102</v>
      </c>
      <c r="G18" s="15">
        <v>117365.92</v>
      </c>
      <c r="H18" s="15">
        <v>78124.5</v>
      </c>
      <c r="I18" s="16">
        <v>1</v>
      </c>
      <c r="J18" s="16">
        <v>1</v>
      </c>
    </row>
    <row r="21" spans="6:21" x14ac:dyDescent="0.3">
      <c r="F21" s="12" t="s">
        <v>2</v>
      </c>
      <c r="G21" s="12" t="s">
        <v>105</v>
      </c>
      <c r="H21" s="12" t="s">
        <v>104</v>
      </c>
      <c r="I21" s="12" t="s">
        <v>106</v>
      </c>
    </row>
    <row r="22" spans="6:21" x14ac:dyDescent="0.3">
      <c r="F22" s="20" t="s">
        <v>36</v>
      </c>
      <c r="G22" s="21">
        <v>20</v>
      </c>
      <c r="H22" s="21">
        <v>18</v>
      </c>
      <c r="I22" s="23">
        <f>+H22/G22</f>
        <v>0.9</v>
      </c>
    </row>
    <row r="23" spans="6:21" x14ac:dyDescent="0.3">
      <c r="F23" s="20" t="s">
        <v>73</v>
      </c>
      <c r="G23" s="21">
        <v>20</v>
      </c>
      <c r="H23" s="21">
        <v>21</v>
      </c>
      <c r="I23" s="23">
        <f t="shared" ref="I23:I25" si="0">+H23/G23</f>
        <v>1.05</v>
      </c>
    </row>
    <row r="24" spans="6:21" x14ac:dyDescent="0.3">
      <c r="F24" s="20" t="s">
        <v>81</v>
      </c>
      <c r="G24" s="21">
        <v>20</v>
      </c>
      <c r="H24" s="21">
        <v>21</v>
      </c>
      <c r="I24" s="23">
        <f t="shared" si="0"/>
        <v>1.05</v>
      </c>
    </row>
    <row r="25" spans="6:21" x14ac:dyDescent="0.3">
      <c r="F25" s="12" t="s">
        <v>91</v>
      </c>
      <c r="G25" s="22">
        <v>60</v>
      </c>
      <c r="H25" s="22">
        <v>60</v>
      </c>
      <c r="I25" s="24">
        <f t="shared" si="0"/>
        <v>1</v>
      </c>
    </row>
    <row r="29" spans="6:21" x14ac:dyDescent="0.3">
      <c r="R29" s="12" t="s">
        <v>114</v>
      </c>
      <c r="S29" s="12" t="s">
        <v>113</v>
      </c>
      <c r="T29" s="12" t="s">
        <v>100</v>
      </c>
      <c r="U29" s="12" t="s">
        <v>106</v>
      </c>
    </row>
    <row r="30" spans="6:21" x14ac:dyDescent="0.3">
      <c r="F30" s="25" t="s">
        <v>115</v>
      </c>
      <c r="G30" s="25"/>
      <c r="H30" s="12"/>
      <c r="I30" s="12" t="s">
        <v>106</v>
      </c>
      <c r="R30" s="20" t="s">
        <v>107</v>
      </c>
      <c r="S30" s="21">
        <v>20</v>
      </c>
      <c r="T30" s="14">
        <f>+S30/$S$36</f>
        <v>0.26315789473684209</v>
      </c>
      <c r="U30" s="23"/>
    </row>
    <row r="31" spans="6:21" x14ac:dyDescent="0.3">
      <c r="F31" s="12" t="s">
        <v>116</v>
      </c>
      <c r="G31" s="22" t="s">
        <v>117</v>
      </c>
      <c r="H31" s="22"/>
      <c r="I31" s="24"/>
      <c r="R31" s="20" t="s">
        <v>109</v>
      </c>
      <c r="S31" s="21">
        <v>20</v>
      </c>
      <c r="T31" s="14">
        <f>+S31/$S$36</f>
        <v>0.26315789473684209</v>
      </c>
      <c r="U31" s="23"/>
    </row>
    <row r="32" spans="6:21" x14ac:dyDescent="0.3">
      <c r="F32" s="20" t="s">
        <v>118</v>
      </c>
      <c r="G32" s="23">
        <v>0.1</v>
      </c>
      <c r="H32" s="21"/>
      <c r="I32" s="23"/>
      <c r="R32" s="20" t="s">
        <v>108</v>
      </c>
      <c r="S32" s="21">
        <v>15</v>
      </c>
      <c r="T32" s="14">
        <f>+S32/$S$36</f>
        <v>0.19736842105263158</v>
      </c>
      <c r="U32" s="23"/>
    </row>
    <row r="33" spans="6:21" x14ac:dyDescent="0.3">
      <c r="F33" s="20" t="s">
        <v>119</v>
      </c>
      <c r="G33" s="23">
        <v>0.15</v>
      </c>
      <c r="H33" s="21"/>
      <c r="I33" s="23"/>
      <c r="R33" s="20" t="s">
        <v>112</v>
      </c>
      <c r="S33" s="21">
        <v>14</v>
      </c>
      <c r="T33" s="14">
        <f>+S33/$S$36</f>
        <v>0.18421052631578946</v>
      </c>
      <c r="U33" s="23"/>
    </row>
    <row r="34" spans="6:21" x14ac:dyDescent="0.3">
      <c r="F34" s="20" t="s">
        <v>120</v>
      </c>
      <c r="G34" s="23">
        <v>0.2</v>
      </c>
      <c r="H34" s="21"/>
      <c r="I34" s="23"/>
      <c r="R34" s="20" t="s">
        <v>110</v>
      </c>
      <c r="S34" s="21">
        <v>5</v>
      </c>
      <c r="T34" s="14">
        <f>+S34/$S$36</f>
        <v>6.5789473684210523E-2</v>
      </c>
      <c r="U34" s="23"/>
    </row>
    <row r="35" spans="6:21" x14ac:dyDescent="0.3">
      <c r="F35" s="20"/>
      <c r="G35" s="21"/>
      <c r="H35" s="21"/>
      <c r="I35" s="23"/>
      <c r="R35" s="20" t="s">
        <v>111</v>
      </c>
      <c r="S35" s="21">
        <v>2</v>
      </c>
      <c r="T35" s="14">
        <f>+S35/$S$36</f>
        <v>2.6315789473684209E-2</v>
      </c>
      <c r="U35" s="23"/>
    </row>
    <row r="36" spans="6:21" x14ac:dyDescent="0.3">
      <c r="F36" s="12"/>
      <c r="G36" s="22"/>
      <c r="H36" s="22"/>
      <c r="I36" s="24"/>
      <c r="R36" s="12" t="s">
        <v>91</v>
      </c>
      <c r="S36" s="22">
        <f>+SUM(S30:S35)</f>
        <v>76</v>
      </c>
      <c r="T36" s="16">
        <f>+S36/$S$36</f>
        <v>1</v>
      </c>
      <c r="U36" s="24">
        <f>+T36/S36</f>
        <v>1.3157894736842105E-2</v>
      </c>
    </row>
  </sheetData>
  <sortState xmlns:xlrd2="http://schemas.microsoft.com/office/spreadsheetml/2017/richdata2" ref="R30:T35">
    <sortCondition descending="1" ref="T30:T35"/>
  </sortState>
  <mergeCells count="1">
    <mergeCell ref="F30:G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5885-4A1F-4CFF-AAD3-B68242A416F0}">
  <dimension ref="A1:Q61"/>
  <sheetViews>
    <sheetView workbookViewId="0"/>
  </sheetViews>
  <sheetFormatPr baseColWidth="10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2" t="s">
        <v>17</v>
      </c>
      <c r="J1" s="2" t="s">
        <v>18</v>
      </c>
      <c r="K1" s="2" t="s">
        <v>82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</row>
    <row r="2" spans="1:17" x14ac:dyDescent="0.3">
      <c r="A2" t="s">
        <v>34</v>
      </c>
      <c r="B2" t="s">
        <v>35</v>
      </c>
      <c r="C2" t="s">
        <v>36</v>
      </c>
      <c r="D2">
        <v>178.5</v>
      </c>
      <c r="E2">
        <v>156.62</v>
      </c>
      <c r="F2" s="3">
        <f>+E2/D2</f>
        <v>0.87742296918767515</v>
      </c>
      <c r="G2">
        <v>35.659999999999997</v>
      </c>
      <c r="H2" s="3">
        <f>+G2/E2</f>
        <v>0.2276848422934491</v>
      </c>
      <c r="I2">
        <v>1938.59</v>
      </c>
      <c r="J2">
        <v>160.02000000000001</v>
      </c>
      <c r="K2">
        <v>2098.61</v>
      </c>
      <c r="L2">
        <v>21</v>
      </c>
      <c r="M2">
        <v>21</v>
      </c>
      <c r="N2">
        <v>0</v>
      </c>
      <c r="O2" s="3">
        <f t="shared" ref="O2:O33" si="0">+M2/L2</f>
        <v>1</v>
      </c>
      <c r="P2" t="s">
        <v>37</v>
      </c>
      <c r="Q2" t="s">
        <v>36</v>
      </c>
    </row>
    <row r="3" spans="1:17" x14ac:dyDescent="0.3">
      <c r="A3" t="s">
        <v>38</v>
      </c>
      <c r="B3" t="s">
        <v>39</v>
      </c>
      <c r="C3" t="s">
        <v>36</v>
      </c>
      <c r="D3">
        <v>178.5</v>
      </c>
      <c r="E3">
        <v>184.7</v>
      </c>
      <c r="F3" s="3">
        <f t="shared" ref="F3:F61" si="1">+E3/D3</f>
        <v>1.0347338935574228</v>
      </c>
      <c r="G3">
        <v>30.01</v>
      </c>
      <c r="H3" s="3">
        <f t="shared" ref="H3:H61" si="2">+G3/E3</f>
        <v>0.16247969680563076</v>
      </c>
      <c r="I3">
        <v>3145.89</v>
      </c>
      <c r="J3">
        <v>161.80000000000001</v>
      </c>
      <c r="K3">
        <v>3307.69</v>
      </c>
      <c r="L3">
        <v>21</v>
      </c>
      <c r="M3">
        <v>21</v>
      </c>
      <c r="N3">
        <v>0</v>
      </c>
      <c r="O3" s="3">
        <f t="shared" si="0"/>
        <v>1</v>
      </c>
      <c r="P3" t="s">
        <v>37</v>
      </c>
      <c r="Q3" t="s">
        <v>36</v>
      </c>
    </row>
    <row r="4" spans="1:17" x14ac:dyDescent="0.3">
      <c r="A4" t="s">
        <v>40</v>
      </c>
      <c r="B4" t="s">
        <v>41</v>
      </c>
      <c r="C4" t="s">
        <v>36</v>
      </c>
      <c r="D4">
        <v>178.5</v>
      </c>
      <c r="E4">
        <v>184.64</v>
      </c>
      <c r="F4" s="3">
        <f t="shared" si="1"/>
        <v>1.0343977591036413</v>
      </c>
      <c r="G4">
        <v>45.19</v>
      </c>
      <c r="H4" s="3">
        <f t="shared" si="2"/>
        <v>0.24474653379549394</v>
      </c>
      <c r="I4">
        <v>1856.21</v>
      </c>
      <c r="J4">
        <v>153.28</v>
      </c>
      <c r="K4">
        <v>2009.49</v>
      </c>
      <c r="L4">
        <v>21</v>
      </c>
      <c r="M4">
        <v>21</v>
      </c>
      <c r="N4">
        <v>0</v>
      </c>
      <c r="O4" s="3">
        <f t="shared" si="0"/>
        <v>1</v>
      </c>
      <c r="P4" t="s">
        <v>37</v>
      </c>
      <c r="Q4" t="s">
        <v>36</v>
      </c>
    </row>
    <row r="5" spans="1:17" x14ac:dyDescent="0.3">
      <c r="A5" t="s">
        <v>42</v>
      </c>
      <c r="B5" t="s">
        <v>43</v>
      </c>
      <c r="C5" t="s">
        <v>36</v>
      </c>
      <c r="D5">
        <v>178.5</v>
      </c>
      <c r="E5">
        <v>164.65</v>
      </c>
      <c r="F5" s="3">
        <f t="shared" si="1"/>
        <v>0.92240896358543423</v>
      </c>
      <c r="G5">
        <v>42.65</v>
      </c>
      <c r="H5" s="3">
        <f t="shared" si="2"/>
        <v>0.25903431521409048</v>
      </c>
      <c r="I5">
        <v>2044.87</v>
      </c>
      <c r="J5">
        <v>158.33000000000001</v>
      </c>
      <c r="K5">
        <v>2203.1999999999998</v>
      </c>
      <c r="L5">
        <v>21</v>
      </c>
      <c r="M5">
        <v>21</v>
      </c>
      <c r="N5">
        <v>0</v>
      </c>
      <c r="O5" s="3">
        <f t="shared" si="0"/>
        <v>1</v>
      </c>
      <c r="P5" t="s">
        <v>37</v>
      </c>
      <c r="Q5" t="s">
        <v>36</v>
      </c>
    </row>
    <row r="6" spans="1:17" x14ac:dyDescent="0.3">
      <c r="A6" t="s">
        <v>44</v>
      </c>
      <c r="B6" t="s">
        <v>45</v>
      </c>
      <c r="C6" t="s">
        <v>36</v>
      </c>
      <c r="D6">
        <v>178.5</v>
      </c>
      <c r="E6">
        <v>179.64</v>
      </c>
      <c r="F6" s="3">
        <f t="shared" si="1"/>
        <v>1.0063865546218487</v>
      </c>
      <c r="G6">
        <v>42.64</v>
      </c>
      <c r="H6" s="3">
        <f t="shared" si="2"/>
        <v>0.23736361612113116</v>
      </c>
      <c r="I6">
        <v>1757.25</v>
      </c>
      <c r="J6">
        <v>157.97</v>
      </c>
      <c r="K6">
        <v>1915.22</v>
      </c>
      <c r="L6">
        <v>21</v>
      </c>
      <c r="M6">
        <v>21</v>
      </c>
      <c r="N6">
        <v>0</v>
      </c>
      <c r="O6" s="3">
        <f t="shared" si="0"/>
        <v>1</v>
      </c>
      <c r="P6" t="s">
        <v>37</v>
      </c>
      <c r="Q6" t="s">
        <v>36</v>
      </c>
    </row>
    <row r="7" spans="1:17" x14ac:dyDescent="0.3">
      <c r="A7" t="s">
        <v>46</v>
      </c>
      <c r="B7" t="s">
        <v>47</v>
      </c>
      <c r="C7" t="s">
        <v>36</v>
      </c>
      <c r="D7">
        <v>178.5</v>
      </c>
      <c r="E7">
        <v>150.22999999999999</v>
      </c>
      <c r="F7" s="3">
        <f t="shared" si="1"/>
        <v>0.8416246498599439</v>
      </c>
      <c r="G7">
        <v>30.03</v>
      </c>
      <c r="H7" s="3">
        <f t="shared" si="2"/>
        <v>0.19989349663848768</v>
      </c>
      <c r="I7">
        <v>1511.39</v>
      </c>
      <c r="J7">
        <v>116.62</v>
      </c>
      <c r="K7">
        <v>1628.0100000000002</v>
      </c>
      <c r="L7">
        <v>21</v>
      </c>
      <c r="M7">
        <v>21</v>
      </c>
      <c r="N7">
        <v>0</v>
      </c>
      <c r="O7" s="3">
        <f t="shared" si="0"/>
        <v>1</v>
      </c>
      <c r="P7" t="s">
        <v>37</v>
      </c>
      <c r="Q7" t="s">
        <v>36</v>
      </c>
    </row>
    <row r="8" spans="1:17" x14ac:dyDescent="0.3">
      <c r="A8" t="s">
        <v>48</v>
      </c>
      <c r="B8" t="s">
        <v>49</v>
      </c>
      <c r="C8" t="s">
        <v>36</v>
      </c>
      <c r="D8">
        <v>178.5</v>
      </c>
      <c r="E8">
        <v>159.46</v>
      </c>
      <c r="F8" s="3">
        <f t="shared" si="1"/>
        <v>0.89333333333333342</v>
      </c>
      <c r="G8">
        <v>26.28</v>
      </c>
      <c r="H8" s="3">
        <f t="shared" si="2"/>
        <v>0.16480622099586104</v>
      </c>
      <c r="I8">
        <v>2287.94</v>
      </c>
      <c r="J8">
        <v>123.12</v>
      </c>
      <c r="K8">
        <v>2411.06</v>
      </c>
      <c r="L8">
        <v>21</v>
      </c>
      <c r="M8">
        <v>21</v>
      </c>
      <c r="N8">
        <v>0</v>
      </c>
      <c r="O8" s="3">
        <f t="shared" si="0"/>
        <v>1</v>
      </c>
      <c r="P8" t="s">
        <v>37</v>
      </c>
      <c r="Q8" t="s">
        <v>36</v>
      </c>
    </row>
    <row r="9" spans="1:17" x14ac:dyDescent="0.3">
      <c r="A9" t="s">
        <v>50</v>
      </c>
      <c r="B9" t="s">
        <v>51</v>
      </c>
      <c r="C9" t="s">
        <v>36</v>
      </c>
      <c r="D9">
        <v>178.5</v>
      </c>
      <c r="E9">
        <v>172.4</v>
      </c>
      <c r="F9" s="3">
        <f t="shared" si="1"/>
        <v>0.9658263305322129</v>
      </c>
      <c r="G9">
        <v>33.979999999999997</v>
      </c>
      <c r="H9" s="3">
        <f t="shared" si="2"/>
        <v>0.1970997679814385</v>
      </c>
      <c r="I9">
        <v>1871.83</v>
      </c>
      <c r="J9">
        <v>137.22</v>
      </c>
      <c r="K9">
        <v>2009.05</v>
      </c>
      <c r="L9">
        <v>21</v>
      </c>
      <c r="M9">
        <v>21</v>
      </c>
      <c r="N9">
        <v>0</v>
      </c>
      <c r="O9" s="3">
        <f t="shared" si="0"/>
        <v>1</v>
      </c>
      <c r="P9" t="s">
        <v>37</v>
      </c>
      <c r="Q9" t="s">
        <v>36</v>
      </c>
    </row>
    <row r="10" spans="1:17" x14ac:dyDescent="0.3">
      <c r="A10" t="s">
        <v>52</v>
      </c>
      <c r="B10" t="s">
        <v>53</v>
      </c>
      <c r="C10" t="s">
        <v>36</v>
      </c>
      <c r="D10">
        <v>178.5</v>
      </c>
      <c r="E10">
        <v>177.16</v>
      </c>
      <c r="F10" s="3">
        <f t="shared" si="1"/>
        <v>0.99249299719887951</v>
      </c>
      <c r="G10">
        <v>21.04</v>
      </c>
      <c r="H10" s="3">
        <f t="shared" si="2"/>
        <v>0.11876270038383382</v>
      </c>
      <c r="I10">
        <v>1287.3</v>
      </c>
      <c r="J10">
        <v>110.69</v>
      </c>
      <c r="K10">
        <v>1397.99</v>
      </c>
      <c r="L10">
        <v>21</v>
      </c>
      <c r="M10">
        <v>21</v>
      </c>
      <c r="N10">
        <v>0</v>
      </c>
      <c r="O10" s="3">
        <f t="shared" si="0"/>
        <v>1</v>
      </c>
      <c r="P10" t="s">
        <v>37</v>
      </c>
      <c r="Q10" t="s">
        <v>36</v>
      </c>
    </row>
    <row r="11" spans="1:17" x14ac:dyDescent="0.3">
      <c r="A11" t="s">
        <v>54</v>
      </c>
      <c r="B11" t="s">
        <v>55</v>
      </c>
      <c r="C11" t="s">
        <v>36</v>
      </c>
      <c r="D11">
        <v>178.5</v>
      </c>
      <c r="E11">
        <v>162.82</v>
      </c>
      <c r="F11" s="3">
        <f t="shared" si="1"/>
        <v>0.912156862745098</v>
      </c>
      <c r="G11">
        <v>33.81</v>
      </c>
      <c r="H11" s="3">
        <f t="shared" si="2"/>
        <v>0.207652622527945</v>
      </c>
      <c r="I11">
        <v>1763.72</v>
      </c>
      <c r="J11">
        <v>84.86</v>
      </c>
      <c r="K11">
        <v>1848.58</v>
      </c>
      <c r="L11">
        <v>21</v>
      </c>
      <c r="M11">
        <v>21</v>
      </c>
      <c r="N11">
        <v>0</v>
      </c>
      <c r="O11" s="3">
        <f t="shared" si="0"/>
        <v>1</v>
      </c>
      <c r="P11" t="s">
        <v>37</v>
      </c>
      <c r="Q11" t="s">
        <v>36</v>
      </c>
    </row>
    <row r="12" spans="1:17" x14ac:dyDescent="0.3">
      <c r="A12" t="s">
        <v>56</v>
      </c>
      <c r="B12" t="s">
        <v>57</v>
      </c>
      <c r="C12" t="s">
        <v>36</v>
      </c>
      <c r="D12" s="4">
        <v>189</v>
      </c>
      <c r="E12">
        <v>178.99</v>
      </c>
      <c r="F12" s="3">
        <f t="shared" si="1"/>
        <v>0.94703703703703712</v>
      </c>
      <c r="G12">
        <v>41.88</v>
      </c>
      <c r="H12" s="3">
        <f t="shared" si="2"/>
        <v>0.23397955193027545</v>
      </c>
      <c r="I12">
        <v>2089.9899999999998</v>
      </c>
      <c r="J12">
        <v>182.21</v>
      </c>
      <c r="K12">
        <v>2272.1999999999998</v>
      </c>
      <c r="L12">
        <v>21</v>
      </c>
      <c r="M12">
        <v>21</v>
      </c>
      <c r="N12">
        <v>0</v>
      </c>
      <c r="O12" s="3">
        <f t="shared" si="0"/>
        <v>1</v>
      </c>
      <c r="P12" t="s">
        <v>58</v>
      </c>
      <c r="Q12" t="s">
        <v>36</v>
      </c>
    </row>
    <row r="13" spans="1:17" x14ac:dyDescent="0.3">
      <c r="A13" t="s">
        <v>59</v>
      </c>
      <c r="B13" t="s">
        <v>60</v>
      </c>
      <c r="C13" t="s">
        <v>36</v>
      </c>
      <c r="D13" s="4">
        <v>189</v>
      </c>
      <c r="E13">
        <v>216.66</v>
      </c>
      <c r="F13" s="3">
        <f t="shared" si="1"/>
        <v>1.1463492063492062</v>
      </c>
      <c r="G13">
        <v>32.21</v>
      </c>
      <c r="H13" s="3">
        <f t="shared" si="2"/>
        <v>0.14866611280347089</v>
      </c>
      <c r="I13">
        <v>2621.5</v>
      </c>
      <c r="J13">
        <v>80.180000000000007</v>
      </c>
      <c r="K13">
        <v>2701.68</v>
      </c>
      <c r="L13">
        <v>21</v>
      </c>
      <c r="M13">
        <v>21</v>
      </c>
      <c r="N13">
        <v>0</v>
      </c>
      <c r="O13" s="3">
        <f t="shared" si="0"/>
        <v>1</v>
      </c>
      <c r="P13" t="s">
        <v>58</v>
      </c>
      <c r="Q13" t="s">
        <v>36</v>
      </c>
    </row>
    <row r="14" spans="1:17" x14ac:dyDescent="0.3">
      <c r="A14" t="s">
        <v>61</v>
      </c>
      <c r="B14" t="s">
        <v>62</v>
      </c>
      <c r="C14" t="s">
        <v>36</v>
      </c>
      <c r="D14" s="4">
        <v>189</v>
      </c>
      <c r="E14">
        <v>204.84</v>
      </c>
      <c r="F14" s="3">
        <f t="shared" si="1"/>
        <v>1.0838095238095238</v>
      </c>
      <c r="G14">
        <v>69.61</v>
      </c>
      <c r="H14" s="3">
        <f t="shared" si="2"/>
        <v>0.33982620581917594</v>
      </c>
      <c r="I14">
        <v>2660.71</v>
      </c>
      <c r="J14">
        <v>137.54</v>
      </c>
      <c r="K14">
        <v>2798.25</v>
      </c>
      <c r="L14">
        <v>21</v>
      </c>
      <c r="M14">
        <v>21</v>
      </c>
      <c r="N14">
        <v>0</v>
      </c>
      <c r="O14" s="3">
        <f t="shared" si="0"/>
        <v>1</v>
      </c>
      <c r="P14" t="s">
        <v>58</v>
      </c>
      <c r="Q14" t="s">
        <v>36</v>
      </c>
    </row>
    <row r="15" spans="1:17" x14ac:dyDescent="0.3">
      <c r="A15" t="s">
        <v>63</v>
      </c>
      <c r="B15" t="s">
        <v>64</v>
      </c>
      <c r="C15" t="s">
        <v>36</v>
      </c>
      <c r="D15" s="4">
        <v>189</v>
      </c>
      <c r="E15">
        <v>209.15</v>
      </c>
      <c r="F15" s="3">
        <f t="shared" si="1"/>
        <v>1.1066137566137566</v>
      </c>
      <c r="G15">
        <v>47.98</v>
      </c>
      <c r="H15" s="3">
        <f t="shared" si="2"/>
        <v>0.22940473344489598</v>
      </c>
      <c r="I15">
        <v>2716.28</v>
      </c>
      <c r="J15">
        <v>170.05</v>
      </c>
      <c r="K15">
        <v>2886.3300000000004</v>
      </c>
      <c r="L15">
        <v>21</v>
      </c>
      <c r="M15">
        <v>21</v>
      </c>
      <c r="N15">
        <v>0</v>
      </c>
      <c r="O15" s="3">
        <f t="shared" si="0"/>
        <v>1</v>
      </c>
      <c r="P15" t="s">
        <v>58</v>
      </c>
      <c r="Q15" t="s">
        <v>36</v>
      </c>
    </row>
    <row r="16" spans="1:17" x14ac:dyDescent="0.3">
      <c r="A16" t="s">
        <v>65</v>
      </c>
      <c r="B16" t="s">
        <v>66</v>
      </c>
      <c r="C16" t="s">
        <v>36</v>
      </c>
      <c r="D16" s="4">
        <v>189</v>
      </c>
      <c r="E16">
        <v>166.6</v>
      </c>
      <c r="F16" s="3">
        <f t="shared" si="1"/>
        <v>0.88148148148148142</v>
      </c>
      <c r="G16">
        <v>27.01</v>
      </c>
      <c r="H16" s="3">
        <f t="shared" si="2"/>
        <v>0.162124849939976</v>
      </c>
      <c r="I16">
        <v>1559.57</v>
      </c>
      <c r="J16">
        <v>105.58</v>
      </c>
      <c r="K16">
        <v>1665.1499999999999</v>
      </c>
      <c r="L16">
        <v>21</v>
      </c>
      <c r="M16">
        <v>21</v>
      </c>
      <c r="N16">
        <v>0</v>
      </c>
      <c r="O16" s="3">
        <f t="shared" si="0"/>
        <v>1</v>
      </c>
      <c r="P16" t="s">
        <v>58</v>
      </c>
      <c r="Q16" t="s">
        <v>36</v>
      </c>
    </row>
    <row r="17" spans="1:17" x14ac:dyDescent="0.3">
      <c r="A17" t="s">
        <v>67</v>
      </c>
      <c r="B17" t="s">
        <v>68</v>
      </c>
      <c r="C17" t="s">
        <v>36</v>
      </c>
      <c r="D17" s="4">
        <v>189</v>
      </c>
      <c r="E17">
        <v>168.21</v>
      </c>
      <c r="F17" s="3">
        <f t="shared" si="1"/>
        <v>0.89</v>
      </c>
      <c r="G17">
        <v>41.51</v>
      </c>
      <c r="H17" s="3">
        <f t="shared" si="2"/>
        <v>0.24677486475239283</v>
      </c>
      <c r="I17">
        <v>2321.8200000000002</v>
      </c>
      <c r="J17">
        <v>133.80000000000001</v>
      </c>
      <c r="K17">
        <v>2455.6200000000003</v>
      </c>
      <c r="L17">
        <v>21</v>
      </c>
      <c r="M17">
        <v>20</v>
      </c>
      <c r="N17">
        <v>1</v>
      </c>
      <c r="O17" s="3">
        <f t="shared" si="0"/>
        <v>0.95238095238095233</v>
      </c>
      <c r="P17" t="s">
        <v>58</v>
      </c>
      <c r="Q17" t="s">
        <v>36</v>
      </c>
    </row>
    <row r="18" spans="1:17" x14ac:dyDescent="0.3">
      <c r="A18" t="s">
        <v>69</v>
      </c>
      <c r="B18" t="s">
        <v>70</v>
      </c>
      <c r="C18" t="s">
        <v>36</v>
      </c>
      <c r="D18" s="4">
        <v>189</v>
      </c>
      <c r="E18">
        <v>165.55</v>
      </c>
      <c r="F18" s="3">
        <f t="shared" si="1"/>
        <v>0.875925925925926</v>
      </c>
      <c r="G18">
        <v>32.340000000000003</v>
      </c>
      <c r="H18" s="3">
        <f t="shared" si="2"/>
        <v>0.19534883720930232</v>
      </c>
      <c r="I18">
        <v>1308.51</v>
      </c>
      <c r="J18">
        <v>121.72</v>
      </c>
      <c r="K18">
        <v>1430.23</v>
      </c>
      <c r="L18">
        <v>21</v>
      </c>
      <c r="M18">
        <v>18</v>
      </c>
      <c r="N18">
        <v>3</v>
      </c>
      <c r="O18" s="3">
        <f t="shared" si="0"/>
        <v>0.8571428571428571</v>
      </c>
      <c r="P18" t="s">
        <v>58</v>
      </c>
      <c r="Q18" t="s">
        <v>36</v>
      </c>
    </row>
    <row r="19" spans="1:17" x14ac:dyDescent="0.3">
      <c r="A19" t="s">
        <v>71</v>
      </c>
      <c r="B19" t="s">
        <v>72</v>
      </c>
      <c r="C19" t="s">
        <v>36</v>
      </c>
      <c r="D19" s="4">
        <v>189</v>
      </c>
      <c r="E19">
        <v>164.45</v>
      </c>
      <c r="F19" s="3">
        <f t="shared" si="1"/>
        <v>0.87010582010582005</v>
      </c>
      <c r="G19">
        <v>50.6</v>
      </c>
      <c r="H19" s="3">
        <f t="shared" si="2"/>
        <v>0.30769230769230771</v>
      </c>
      <c r="I19">
        <v>1307.95</v>
      </c>
      <c r="J19">
        <v>87.31</v>
      </c>
      <c r="K19">
        <v>1395.26</v>
      </c>
      <c r="L19">
        <v>21</v>
      </c>
      <c r="M19">
        <v>19</v>
      </c>
      <c r="N19">
        <v>2</v>
      </c>
      <c r="O19" s="3">
        <f t="shared" si="0"/>
        <v>0.90476190476190477</v>
      </c>
      <c r="P19" t="s">
        <v>58</v>
      </c>
      <c r="Q19" t="s">
        <v>36</v>
      </c>
    </row>
    <row r="20" spans="1:17" x14ac:dyDescent="0.3">
      <c r="A20" t="s">
        <v>34</v>
      </c>
      <c r="B20" t="s">
        <v>35</v>
      </c>
      <c r="C20" t="s">
        <v>73</v>
      </c>
      <c r="D20">
        <v>178.5</v>
      </c>
      <c r="E20">
        <v>189.32</v>
      </c>
      <c r="F20" s="3">
        <f t="shared" si="1"/>
        <v>1.0606162464985993</v>
      </c>
      <c r="G20">
        <v>18.36</v>
      </c>
      <c r="H20" s="3">
        <f t="shared" si="2"/>
        <v>9.6978660469047115E-2</v>
      </c>
      <c r="I20">
        <v>2486.7399999999998</v>
      </c>
      <c r="J20">
        <v>83.24</v>
      </c>
      <c r="K20">
        <v>2569.9799999999996</v>
      </c>
      <c r="L20">
        <v>21</v>
      </c>
      <c r="M20">
        <v>21</v>
      </c>
      <c r="N20">
        <v>0</v>
      </c>
      <c r="O20" s="3">
        <f t="shared" si="0"/>
        <v>1</v>
      </c>
      <c r="P20" t="s">
        <v>37</v>
      </c>
      <c r="Q20" t="s">
        <v>36</v>
      </c>
    </row>
    <row r="21" spans="1:17" x14ac:dyDescent="0.3">
      <c r="A21" t="s">
        <v>38</v>
      </c>
      <c r="B21" t="s">
        <v>39</v>
      </c>
      <c r="C21" t="s">
        <v>73</v>
      </c>
      <c r="D21">
        <v>178.5</v>
      </c>
      <c r="E21">
        <v>173</v>
      </c>
      <c r="F21" s="3">
        <f t="shared" si="1"/>
        <v>0.96918767507002801</v>
      </c>
      <c r="G21">
        <v>48.47</v>
      </c>
      <c r="H21" s="3">
        <f t="shared" si="2"/>
        <v>0.28017341040462429</v>
      </c>
      <c r="I21">
        <v>1879.46</v>
      </c>
      <c r="J21">
        <v>119.4</v>
      </c>
      <c r="K21">
        <v>1998.8600000000001</v>
      </c>
      <c r="L21">
        <v>21</v>
      </c>
      <c r="M21">
        <v>21</v>
      </c>
      <c r="N21">
        <v>0</v>
      </c>
      <c r="O21" s="3">
        <f t="shared" si="0"/>
        <v>1</v>
      </c>
      <c r="P21" t="s">
        <v>37</v>
      </c>
      <c r="Q21" t="s">
        <v>36</v>
      </c>
    </row>
    <row r="22" spans="1:17" x14ac:dyDescent="0.3">
      <c r="A22" t="s">
        <v>40</v>
      </c>
      <c r="B22" t="s">
        <v>41</v>
      </c>
      <c r="C22" t="s">
        <v>73</v>
      </c>
      <c r="D22">
        <v>178.5</v>
      </c>
      <c r="E22">
        <v>182.33</v>
      </c>
      <c r="F22" s="3">
        <f t="shared" si="1"/>
        <v>1.0214565826330533</v>
      </c>
      <c r="G22">
        <v>67.650000000000006</v>
      </c>
      <c r="H22" s="3">
        <f t="shared" si="2"/>
        <v>0.37103054900455218</v>
      </c>
      <c r="I22">
        <v>1895.55</v>
      </c>
      <c r="J22">
        <v>159.44999999999999</v>
      </c>
      <c r="K22">
        <v>2055</v>
      </c>
      <c r="L22">
        <v>21</v>
      </c>
      <c r="M22">
        <v>21</v>
      </c>
      <c r="N22">
        <v>0</v>
      </c>
      <c r="O22" s="3">
        <f t="shared" si="0"/>
        <v>1</v>
      </c>
      <c r="P22" t="s">
        <v>37</v>
      </c>
      <c r="Q22" t="s">
        <v>36</v>
      </c>
    </row>
    <row r="23" spans="1:17" x14ac:dyDescent="0.3">
      <c r="A23" t="s">
        <v>42</v>
      </c>
      <c r="B23" t="s">
        <v>43</v>
      </c>
      <c r="C23" t="s">
        <v>73</v>
      </c>
      <c r="D23">
        <v>178.5</v>
      </c>
      <c r="E23">
        <v>142.43</v>
      </c>
      <c r="F23" s="3">
        <f t="shared" si="1"/>
        <v>0.79792717086834741</v>
      </c>
      <c r="G23">
        <v>29.94</v>
      </c>
      <c r="H23" s="3">
        <f t="shared" si="2"/>
        <v>0.21020852348522082</v>
      </c>
      <c r="I23">
        <v>639.51</v>
      </c>
      <c r="J23">
        <v>65.599999999999994</v>
      </c>
      <c r="K23">
        <v>705.11</v>
      </c>
      <c r="L23">
        <v>21</v>
      </c>
      <c r="M23">
        <v>21</v>
      </c>
      <c r="N23">
        <v>0</v>
      </c>
      <c r="O23" s="3">
        <f t="shared" si="0"/>
        <v>1</v>
      </c>
      <c r="P23" t="s">
        <v>37</v>
      </c>
      <c r="Q23" t="s">
        <v>36</v>
      </c>
    </row>
    <row r="24" spans="1:17" x14ac:dyDescent="0.3">
      <c r="A24" t="s">
        <v>44</v>
      </c>
      <c r="B24" t="s">
        <v>45</v>
      </c>
      <c r="C24" t="s">
        <v>73</v>
      </c>
      <c r="D24">
        <v>178.5</v>
      </c>
      <c r="E24">
        <v>209.36</v>
      </c>
      <c r="F24" s="3">
        <f t="shared" si="1"/>
        <v>1.1728851540616247</v>
      </c>
      <c r="G24">
        <v>82.55</v>
      </c>
      <c r="H24" s="3">
        <f t="shared" si="2"/>
        <v>0.39429690485288493</v>
      </c>
      <c r="I24">
        <v>1095.25</v>
      </c>
      <c r="J24">
        <v>82.74</v>
      </c>
      <c r="K24">
        <v>1177.99</v>
      </c>
      <c r="L24">
        <v>21</v>
      </c>
      <c r="M24">
        <v>21</v>
      </c>
      <c r="N24">
        <v>0</v>
      </c>
      <c r="O24" s="3">
        <f t="shared" si="0"/>
        <v>1</v>
      </c>
      <c r="P24" t="s">
        <v>37</v>
      </c>
      <c r="Q24" t="s">
        <v>36</v>
      </c>
    </row>
    <row r="25" spans="1:17" x14ac:dyDescent="0.3">
      <c r="A25" t="s">
        <v>46</v>
      </c>
      <c r="B25" t="s">
        <v>47</v>
      </c>
      <c r="C25" t="s">
        <v>73</v>
      </c>
      <c r="D25">
        <v>178.5</v>
      </c>
      <c r="E25">
        <v>176.25</v>
      </c>
      <c r="F25" s="3">
        <f t="shared" si="1"/>
        <v>0.98739495798319332</v>
      </c>
      <c r="G25">
        <v>24.24</v>
      </c>
      <c r="H25" s="3">
        <f t="shared" si="2"/>
        <v>0.13753191489361702</v>
      </c>
      <c r="I25">
        <v>2608.54</v>
      </c>
      <c r="J25">
        <v>164.62</v>
      </c>
      <c r="K25">
        <v>2773.16</v>
      </c>
      <c r="L25">
        <v>21</v>
      </c>
      <c r="M25">
        <v>21</v>
      </c>
      <c r="N25">
        <v>0</v>
      </c>
      <c r="O25" s="3">
        <f t="shared" si="0"/>
        <v>1</v>
      </c>
      <c r="P25" t="s">
        <v>37</v>
      </c>
      <c r="Q25" t="s">
        <v>36</v>
      </c>
    </row>
    <row r="26" spans="1:17" x14ac:dyDescent="0.3">
      <c r="A26" t="s">
        <v>48</v>
      </c>
      <c r="B26" t="s">
        <v>49</v>
      </c>
      <c r="C26" t="s">
        <v>73</v>
      </c>
      <c r="D26">
        <v>178.5</v>
      </c>
      <c r="E26">
        <v>178.5</v>
      </c>
      <c r="F26" s="3">
        <f t="shared" si="1"/>
        <v>1</v>
      </c>
      <c r="G26">
        <v>31.54</v>
      </c>
      <c r="H26" s="3">
        <f t="shared" si="2"/>
        <v>0.17669467787114845</v>
      </c>
      <c r="I26">
        <v>2147.8000000000002</v>
      </c>
      <c r="J26">
        <v>81.08</v>
      </c>
      <c r="K26">
        <v>2228.88</v>
      </c>
      <c r="L26">
        <v>21</v>
      </c>
      <c r="M26">
        <v>21</v>
      </c>
      <c r="N26">
        <v>0</v>
      </c>
      <c r="O26" s="3">
        <f t="shared" si="0"/>
        <v>1</v>
      </c>
      <c r="P26" t="s">
        <v>37</v>
      </c>
      <c r="Q26" t="s">
        <v>36</v>
      </c>
    </row>
    <row r="27" spans="1:17" x14ac:dyDescent="0.3">
      <c r="A27" t="s">
        <v>50</v>
      </c>
      <c r="B27" t="s">
        <v>51</v>
      </c>
      <c r="C27" t="s">
        <v>73</v>
      </c>
      <c r="D27">
        <v>178.5</v>
      </c>
      <c r="E27">
        <v>186.57</v>
      </c>
      <c r="F27" s="3">
        <f t="shared" si="1"/>
        <v>1.0452100840336134</v>
      </c>
      <c r="G27">
        <v>21.52</v>
      </c>
      <c r="H27" s="3">
        <f t="shared" si="2"/>
        <v>0.11534544674920941</v>
      </c>
      <c r="I27">
        <v>2874.3</v>
      </c>
      <c r="J27">
        <v>155.66</v>
      </c>
      <c r="K27">
        <v>3029.96</v>
      </c>
      <c r="L27">
        <v>21</v>
      </c>
      <c r="M27">
        <v>21</v>
      </c>
      <c r="N27">
        <v>0</v>
      </c>
      <c r="O27" s="3">
        <f t="shared" si="0"/>
        <v>1</v>
      </c>
      <c r="P27" t="s">
        <v>37</v>
      </c>
      <c r="Q27" t="s">
        <v>36</v>
      </c>
    </row>
    <row r="28" spans="1:17" x14ac:dyDescent="0.3">
      <c r="A28" t="s">
        <v>52</v>
      </c>
      <c r="B28" t="s">
        <v>53</v>
      </c>
      <c r="C28" t="s">
        <v>73</v>
      </c>
      <c r="D28">
        <v>178.5</v>
      </c>
      <c r="E28">
        <v>181.06</v>
      </c>
      <c r="F28" s="3">
        <f t="shared" si="1"/>
        <v>1.0143417366946779</v>
      </c>
      <c r="G28">
        <v>55.82</v>
      </c>
      <c r="H28" s="3">
        <f t="shared" si="2"/>
        <v>0.30829559262123052</v>
      </c>
      <c r="I28">
        <v>748.01</v>
      </c>
      <c r="J28">
        <v>49.79</v>
      </c>
      <c r="K28">
        <v>797.8</v>
      </c>
      <c r="L28">
        <v>21</v>
      </c>
      <c r="M28">
        <v>21</v>
      </c>
      <c r="N28">
        <v>0</v>
      </c>
      <c r="O28" s="3">
        <f t="shared" si="0"/>
        <v>1</v>
      </c>
      <c r="P28" t="s">
        <v>37</v>
      </c>
      <c r="Q28" t="s">
        <v>36</v>
      </c>
    </row>
    <row r="29" spans="1:17" x14ac:dyDescent="0.3">
      <c r="A29" t="s">
        <v>54</v>
      </c>
      <c r="B29" t="s">
        <v>55</v>
      </c>
      <c r="C29" t="s">
        <v>73</v>
      </c>
      <c r="D29">
        <v>178.5</v>
      </c>
      <c r="E29">
        <v>193.01</v>
      </c>
      <c r="F29" s="3">
        <f t="shared" si="1"/>
        <v>1.0812885154061624</v>
      </c>
      <c r="G29">
        <v>38.659999999999997</v>
      </c>
      <c r="H29" s="3">
        <f t="shared" si="2"/>
        <v>0.20030050256463394</v>
      </c>
      <c r="I29">
        <v>3014.89</v>
      </c>
      <c r="J29">
        <v>251.89</v>
      </c>
      <c r="K29">
        <v>3266.7799999999997</v>
      </c>
      <c r="L29">
        <v>21</v>
      </c>
      <c r="M29">
        <v>21</v>
      </c>
      <c r="N29">
        <v>0</v>
      </c>
      <c r="O29" s="3">
        <f t="shared" si="0"/>
        <v>1</v>
      </c>
      <c r="P29" t="s">
        <v>37</v>
      </c>
      <c r="Q29" t="s">
        <v>36</v>
      </c>
    </row>
    <row r="30" spans="1:17" x14ac:dyDescent="0.3">
      <c r="A30" t="s">
        <v>56</v>
      </c>
      <c r="B30" t="s">
        <v>57</v>
      </c>
      <c r="C30" t="s">
        <v>73</v>
      </c>
      <c r="D30" s="4">
        <v>189</v>
      </c>
      <c r="E30">
        <v>197.3</v>
      </c>
      <c r="F30" s="3">
        <f t="shared" si="1"/>
        <v>1.0439153439153439</v>
      </c>
      <c r="G30">
        <v>53.21</v>
      </c>
      <c r="H30" s="3">
        <f t="shared" si="2"/>
        <v>0.26969082615306639</v>
      </c>
      <c r="I30">
        <v>1565.43</v>
      </c>
      <c r="J30">
        <v>87.96</v>
      </c>
      <c r="K30">
        <v>1653.39</v>
      </c>
      <c r="L30">
        <v>21</v>
      </c>
      <c r="M30">
        <v>21</v>
      </c>
      <c r="N30">
        <v>0</v>
      </c>
      <c r="O30" s="3">
        <f t="shared" si="0"/>
        <v>1</v>
      </c>
      <c r="P30" t="s">
        <v>58</v>
      </c>
      <c r="Q30" t="s">
        <v>36</v>
      </c>
    </row>
    <row r="31" spans="1:17" x14ac:dyDescent="0.3">
      <c r="A31" t="s">
        <v>59</v>
      </c>
      <c r="B31" t="s">
        <v>60</v>
      </c>
      <c r="C31" t="s">
        <v>73</v>
      </c>
      <c r="D31" s="4">
        <v>189</v>
      </c>
      <c r="E31">
        <v>223.41</v>
      </c>
      <c r="F31" s="3">
        <f t="shared" si="1"/>
        <v>1.182063492063492</v>
      </c>
      <c r="G31">
        <v>58.95</v>
      </c>
      <c r="H31" s="3">
        <f t="shared" si="2"/>
        <v>0.26386464348059624</v>
      </c>
      <c r="I31">
        <v>2566.2600000000002</v>
      </c>
      <c r="J31">
        <v>118.1</v>
      </c>
      <c r="K31">
        <v>2684.36</v>
      </c>
      <c r="L31">
        <v>21</v>
      </c>
      <c r="M31">
        <v>21</v>
      </c>
      <c r="N31">
        <v>0</v>
      </c>
      <c r="O31" s="3">
        <f t="shared" si="0"/>
        <v>1</v>
      </c>
      <c r="P31" t="s">
        <v>58</v>
      </c>
      <c r="Q31" t="s">
        <v>36</v>
      </c>
    </row>
    <row r="32" spans="1:17" x14ac:dyDescent="0.3">
      <c r="A32" t="s">
        <v>61</v>
      </c>
      <c r="B32" t="s">
        <v>62</v>
      </c>
      <c r="C32" t="s">
        <v>73</v>
      </c>
      <c r="D32" s="4">
        <v>189</v>
      </c>
      <c r="E32">
        <v>166.01</v>
      </c>
      <c r="F32" s="3">
        <f t="shared" si="1"/>
        <v>0.87835978835978834</v>
      </c>
      <c r="G32">
        <v>29.84</v>
      </c>
      <c r="H32" s="3">
        <f t="shared" si="2"/>
        <v>0.17974820793928079</v>
      </c>
      <c r="I32">
        <v>2188.38</v>
      </c>
      <c r="J32">
        <v>149.41999999999999</v>
      </c>
      <c r="K32">
        <v>2337.8000000000002</v>
      </c>
      <c r="L32">
        <v>21</v>
      </c>
      <c r="M32">
        <v>21</v>
      </c>
      <c r="N32">
        <v>0</v>
      </c>
      <c r="O32" s="3">
        <f t="shared" si="0"/>
        <v>1</v>
      </c>
      <c r="P32" t="s">
        <v>58</v>
      </c>
      <c r="Q32" t="s">
        <v>36</v>
      </c>
    </row>
    <row r="33" spans="1:17" x14ac:dyDescent="0.3">
      <c r="A33" t="s">
        <v>63</v>
      </c>
      <c r="B33" t="s">
        <v>64</v>
      </c>
      <c r="C33" t="s">
        <v>73</v>
      </c>
      <c r="D33" s="4">
        <v>189</v>
      </c>
      <c r="E33">
        <v>177.83</v>
      </c>
      <c r="F33" s="3">
        <f t="shared" si="1"/>
        <v>0.94089947089947101</v>
      </c>
      <c r="G33">
        <v>45.43</v>
      </c>
      <c r="H33" s="3">
        <f t="shared" si="2"/>
        <v>0.25546870606759264</v>
      </c>
      <c r="I33">
        <v>1356.83</v>
      </c>
      <c r="J33">
        <v>110.4</v>
      </c>
      <c r="K33">
        <v>1467.23</v>
      </c>
      <c r="L33">
        <v>21</v>
      </c>
      <c r="M33">
        <v>21</v>
      </c>
      <c r="N33">
        <v>0</v>
      </c>
      <c r="O33" s="3">
        <f t="shared" si="0"/>
        <v>1</v>
      </c>
      <c r="P33" t="s">
        <v>58</v>
      </c>
      <c r="Q33" t="s">
        <v>36</v>
      </c>
    </row>
    <row r="34" spans="1:17" x14ac:dyDescent="0.3">
      <c r="A34" t="s">
        <v>65</v>
      </c>
      <c r="B34" t="s">
        <v>66</v>
      </c>
      <c r="C34" t="s">
        <v>73</v>
      </c>
      <c r="D34" s="4">
        <v>189</v>
      </c>
      <c r="E34">
        <v>194.11</v>
      </c>
      <c r="F34" s="3">
        <f t="shared" si="1"/>
        <v>1.0270370370370372</v>
      </c>
      <c r="G34">
        <v>32.65</v>
      </c>
      <c r="H34" s="3">
        <f t="shared" si="2"/>
        <v>0.16820359589923237</v>
      </c>
      <c r="I34">
        <v>1667.07</v>
      </c>
      <c r="J34">
        <v>149.41999999999999</v>
      </c>
      <c r="K34">
        <v>1816.49</v>
      </c>
      <c r="L34">
        <v>21</v>
      </c>
      <c r="M34">
        <v>21</v>
      </c>
      <c r="N34">
        <v>0</v>
      </c>
      <c r="O34" s="3">
        <f t="shared" ref="O34:O61" si="3">+M34/L34</f>
        <v>1</v>
      </c>
      <c r="P34" t="s">
        <v>58</v>
      </c>
      <c r="Q34" t="s">
        <v>36</v>
      </c>
    </row>
    <row r="35" spans="1:17" x14ac:dyDescent="0.3">
      <c r="A35" t="s">
        <v>67</v>
      </c>
      <c r="B35" t="s">
        <v>68</v>
      </c>
      <c r="C35" t="s">
        <v>73</v>
      </c>
      <c r="D35" s="4">
        <v>189</v>
      </c>
      <c r="E35">
        <v>174.46</v>
      </c>
      <c r="F35" s="3">
        <f t="shared" si="1"/>
        <v>0.92306878306878315</v>
      </c>
      <c r="G35">
        <v>47.22</v>
      </c>
      <c r="H35" s="3">
        <f t="shared" si="2"/>
        <v>0.27066376246704116</v>
      </c>
      <c r="I35">
        <v>2659.7</v>
      </c>
      <c r="J35">
        <v>148.66999999999999</v>
      </c>
      <c r="K35">
        <v>2808.37</v>
      </c>
      <c r="L35">
        <v>21</v>
      </c>
      <c r="M35">
        <v>19</v>
      </c>
      <c r="N35">
        <v>2</v>
      </c>
      <c r="O35" s="3">
        <f t="shared" si="3"/>
        <v>0.90476190476190477</v>
      </c>
      <c r="P35" t="s">
        <v>58</v>
      </c>
      <c r="Q35" t="s">
        <v>36</v>
      </c>
    </row>
    <row r="36" spans="1:17" x14ac:dyDescent="0.3">
      <c r="A36" t="s">
        <v>69</v>
      </c>
      <c r="B36" t="s">
        <v>70</v>
      </c>
      <c r="C36" t="s">
        <v>73</v>
      </c>
      <c r="D36" s="4">
        <v>189</v>
      </c>
      <c r="E36">
        <v>163.16999999999999</v>
      </c>
      <c r="F36" s="3">
        <f t="shared" si="1"/>
        <v>0.86333333333333329</v>
      </c>
      <c r="G36">
        <v>36.950000000000003</v>
      </c>
      <c r="H36" s="3">
        <f t="shared" si="2"/>
        <v>0.22645094073665506</v>
      </c>
      <c r="I36">
        <v>1865.55</v>
      </c>
      <c r="J36">
        <v>131.49</v>
      </c>
      <c r="K36">
        <v>1997.04</v>
      </c>
      <c r="L36">
        <v>21</v>
      </c>
      <c r="M36">
        <v>19</v>
      </c>
      <c r="N36">
        <v>2</v>
      </c>
      <c r="O36" s="3">
        <f t="shared" si="3"/>
        <v>0.90476190476190477</v>
      </c>
      <c r="P36" t="s">
        <v>58</v>
      </c>
      <c r="Q36" t="s">
        <v>36</v>
      </c>
    </row>
    <row r="37" spans="1:17" x14ac:dyDescent="0.3">
      <c r="A37" t="s">
        <v>71</v>
      </c>
      <c r="B37" t="s">
        <v>72</v>
      </c>
      <c r="C37" t="s">
        <v>73</v>
      </c>
      <c r="D37" s="4">
        <v>189</v>
      </c>
      <c r="E37">
        <v>124.58</v>
      </c>
      <c r="F37" s="3">
        <f t="shared" si="1"/>
        <v>0.65915343915343916</v>
      </c>
      <c r="G37">
        <v>27.81</v>
      </c>
      <c r="H37" s="3">
        <f t="shared" si="2"/>
        <v>0.2232300529780061</v>
      </c>
      <c r="I37">
        <v>1538.32</v>
      </c>
      <c r="J37">
        <v>108.61</v>
      </c>
      <c r="K37">
        <v>1646.9299999999998</v>
      </c>
      <c r="L37">
        <v>21</v>
      </c>
      <c r="M37">
        <v>18</v>
      </c>
      <c r="N37">
        <v>3</v>
      </c>
      <c r="O37" s="3">
        <f t="shared" si="3"/>
        <v>0.8571428571428571</v>
      </c>
      <c r="P37" t="s">
        <v>58</v>
      </c>
      <c r="Q37" t="s">
        <v>36</v>
      </c>
    </row>
    <row r="38" spans="1:17" x14ac:dyDescent="0.3">
      <c r="A38" t="s">
        <v>74</v>
      </c>
      <c r="B38" t="s">
        <v>75</v>
      </c>
      <c r="C38" t="s">
        <v>73</v>
      </c>
      <c r="D38" s="4">
        <v>189</v>
      </c>
      <c r="E38">
        <v>192.72</v>
      </c>
      <c r="F38" s="3">
        <f t="shared" si="1"/>
        <v>1.0196825396825397</v>
      </c>
      <c r="G38">
        <v>51.89</v>
      </c>
      <c r="H38" s="3">
        <f t="shared" si="2"/>
        <v>0.26925072644250725</v>
      </c>
      <c r="I38">
        <v>1654.27</v>
      </c>
      <c r="J38">
        <v>56.36</v>
      </c>
      <c r="K38">
        <v>1710.6299999999999</v>
      </c>
      <c r="L38">
        <v>21</v>
      </c>
      <c r="M38">
        <v>21</v>
      </c>
      <c r="N38">
        <v>0</v>
      </c>
      <c r="O38" s="3">
        <f t="shared" si="3"/>
        <v>1</v>
      </c>
      <c r="P38" t="s">
        <v>58</v>
      </c>
      <c r="Q38" t="s">
        <v>73</v>
      </c>
    </row>
    <row r="39" spans="1:17" x14ac:dyDescent="0.3">
      <c r="A39" t="s">
        <v>76</v>
      </c>
      <c r="B39" t="s">
        <v>77</v>
      </c>
      <c r="C39" t="s">
        <v>73</v>
      </c>
      <c r="D39" s="4">
        <v>189</v>
      </c>
      <c r="E39">
        <v>176.18</v>
      </c>
      <c r="F39" s="3">
        <f t="shared" si="1"/>
        <v>0.9321693121693122</v>
      </c>
      <c r="G39">
        <v>46.68</v>
      </c>
      <c r="H39" s="3">
        <f t="shared" si="2"/>
        <v>0.26495629469860371</v>
      </c>
      <c r="I39">
        <v>2033.79</v>
      </c>
      <c r="J39">
        <v>125.77</v>
      </c>
      <c r="K39">
        <v>2159.56</v>
      </c>
      <c r="L39">
        <v>21</v>
      </c>
      <c r="M39">
        <v>21</v>
      </c>
      <c r="N39">
        <v>0</v>
      </c>
      <c r="O39" s="3">
        <f t="shared" si="3"/>
        <v>1</v>
      </c>
      <c r="P39" t="s">
        <v>58</v>
      </c>
      <c r="Q39" t="s">
        <v>73</v>
      </c>
    </row>
    <row r="40" spans="1:17" x14ac:dyDescent="0.3">
      <c r="A40" t="s">
        <v>78</v>
      </c>
      <c r="B40" t="s">
        <v>79</v>
      </c>
      <c r="C40" t="s">
        <v>73</v>
      </c>
      <c r="D40">
        <v>147</v>
      </c>
      <c r="E40">
        <v>115.91</v>
      </c>
      <c r="F40" s="3">
        <f t="shared" si="1"/>
        <v>0.7885034013605442</v>
      </c>
      <c r="G40">
        <v>19.32</v>
      </c>
      <c r="H40" s="3">
        <f t="shared" si="2"/>
        <v>0.16668104563885774</v>
      </c>
      <c r="I40">
        <v>1218.98</v>
      </c>
      <c r="J40">
        <v>84.71</v>
      </c>
      <c r="K40">
        <v>1303.69</v>
      </c>
      <c r="L40">
        <v>21</v>
      </c>
      <c r="M40">
        <v>21</v>
      </c>
      <c r="N40">
        <v>0</v>
      </c>
      <c r="O40" s="3">
        <f t="shared" si="3"/>
        <v>1</v>
      </c>
      <c r="P40" t="s">
        <v>80</v>
      </c>
      <c r="Q40" t="s">
        <v>73</v>
      </c>
    </row>
    <row r="41" spans="1:17" x14ac:dyDescent="0.3">
      <c r="A41" t="s">
        <v>34</v>
      </c>
      <c r="B41" t="s">
        <v>35</v>
      </c>
      <c r="C41" t="s">
        <v>81</v>
      </c>
      <c r="D41">
        <v>178.5</v>
      </c>
      <c r="E41">
        <v>194.1</v>
      </c>
      <c r="F41" s="3">
        <f t="shared" si="1"/>
        <v>1.0873949579831932</v>
      </c>
      <c r="G41">
        <v>35.659999999999997</v>
      </c>
      <c r="H41" s="3">
        <f t="shared" si="2"/>
        <v>0.18371973209685727</v>
      </c>
      <c r="I41">
        <v>2057.58</v>
      </c>
      <c r="J41">
        <v>138.35</v>
      </c>
      <c r="K41">
        <v>2195.9299999999998</v>
      </c>
      <c r="L41">
        <v>21</v>
      </c>
      <c r="M41">
        <v>21</v>
      </c>
      <c r="N41">
        <v>0</v>
      </c>
      <c r="O41" s="3">
        <f t="shared" si="3"/>
        <v>1</v>
      </c>
      <c r="P41" t="s">
        <v>37</v>
      </c>
      <c r="Q41" t="s">
        <v>36</v>
      </c>
    </row>
    <row r="42" spans="1:17" x14ac:dyDescent="0.3">
      <c r="A42" t="s">
        <v>38</v>
      </c>
      <c r="B42" t="s">
        <v>39</v>
      </c>
      <c r="C42" t="s">
        <v>81</v>
      </c>
      <c r="D42">
        <v>178.5</v>
      </c>
      <c r="E42">
        <v>153.69</v>
      </c>
      <c r="F42" s="3">
        <f t="shared" si="1"/>
        <v>0.86100840336134454</v>
      </c>
      <c r="G42">
        <v>43.65</v>
      </c>
      <c r="H42" s="3">
        <f t="shared" si="2"/>
        <v>0.28401327347257466</v>
      </c>
      <c r="I42">
        <v>2006.13</v>
      </c>
      <c r="J42">
        <v>203.7</v>
      </c>
      <c r="K42">
        <v>2209.83</v>
      </c>
      <c r="L42">
        <v>21</v>
      </c>
      <c r="M42">
        <v>21</v>
      </c>
      <c r="N42">
        <v>0</v>
      </c>
      <c r="O42" s="3">
        <f t="shared" si="3"/>
        <v>1</v>
      </c>
      <c r="P42" t="s">
        <v>37</v>
      </c>
      <c r="Q42" t="s">
        <v>36</v>
      </c>
    </row>
    <row r="43" spans="1:17" x14ac:dyDescent="0.3">
      <c r="A43" t="s">
        <v>40</v>
      </c>
      <c r="B43" t="s">
        <v>41</v>
      </c>
      <c r="C43" t="s">
        <v>81</v>
      </c>
      <c r="D43">
        <v>178.5</v>
      </c>
      <c r="E43">
        <v>196.58</v>
      </c>
      <c r="F43" s="3">
        <f t="shared" si="1"/>
        <v>1.1012885154061625</v>
      </c>
      <c r="G43">
        <v>33.270000000000003</v>
      </c>
      <c r="H43" s="3">
        <f t="shared" si="2"/>
        <v>0.1692440736595788</v>
      </c>
      <c r="I43">
        <v>1129.21</v>
      </c>
      <c r="J43">
        <v>42.52</v>
      </c>
      <c r="K43">
        <v>1171.73</v>
      </c>
      <c r="L43">
        <v>21</v>
      </c>
      <c r="M43">
        <v>21</v>
      </c>
      <c r="N43">
        <v>0</v>
      </c>
      <c r="O43" s="3">
        <f t="shared" si="3"/>
        <v>1</v>
      </c>
      <c r="P43" t="s">
        <v>37</v>
      </c>
      <c r="Q43" t="s">
        <v>36</v>
      </c>
    </row>
    <row r="44" spans="1:17" x14ac:dyDescent="0.3">
      <c r="A44" t="s">
        <v>42</v>
      </c>
      <c r="B44" t="s">
        <v>43</v>
      </c>
      <c r="C44" t="s">
        <v>81</v>
      </c>
      <c r="D44">
        <v>178.5</v>
      </c>
      <c r="E44">
        <v>211.05</v>
      </c>
      <c r="F44" s="3">
        <f t="shared" si="1"/>
        <v>1.1823529411764706</v>
      </c>
      <c r="G44">
        <v>60.43</v>
      </c>
      <c r="H44" s="3">
        <f t="shared" si="2"/>
        <v>0.28633025349443259</v>
      </c>
      <c r="I44">
        <v>2047.08</v>
      </c>
      <c r="J44">
        <v>108.94</v>
      </c>
      <c r="K44">
        <v>2156.02</v>
      </c>
      <c r="L44">
        <v>21</v>
      </c>
      <c r="M44">
        <v>21</v>
      </c>
      <c r="N44">
        <v>0</v>
      </c>
      <c r="O44" s="3">
        <f t="shared" si="3"/>
        <v>1</v>
      </c>
      <c r="P44" t="s">
        <v>37</v>
      </c>
      <c r="Q44" t="s">
        <v>36</v>
      </c>
    </row>
    <row r="45" spans="1:17" x14ac:dyDescent="0.3">
      <c r="A45" t="s">
        <v>44</v>
      </c>
      <c r="B45" t="s">
        <v>45</v>
      </c>
      <c r="C45" t="s">
        <v>81</v>
      </c>
      <c r="D45">
        <v>178.5</v>
      </c>
      <c r="E45">
        <v>178.61</v>
      </c>
      <c r="F45" s="3">
        <f t="shared" si="1"/>
        <v>1.0006162464985995</v>
      </c>
      <c r="G45">
        <v>67.13</v>
      </c>
      <c r="H45" s="3">
        <f t="shared" si="2"/>
        <v>0.37584681708750906</v>
      </c>
      <c r="I45">
        <v>1579.66</v>
      </c>
      <c r="J45">
        <v>70.150000000000006</v>
      </c>
      <c r="K45">
        <v>1649.8100000000002</v>
      </c>
      <c r="L45">
        <v>21</v>
      </c>
      <c r="M45">
        <v>21</v>
      </c>
      <c r="N45">
        <v>0</v>
      </c>
      <c r="O45" s="3">
        <f t="shared" si="3"/>
        <v>1</v>
      </c>
      <c r="P45" t="s">
        <v>37</v>
      </c>
      <c r="Q45" t="s">
        <v>36</v>
      </c>
    </row>
    <row r="46" spans="1:17" x14ac:dyDescent="0.3">
      <c r="A46" t="s">
        <v>46</v>
      </c>
      <c r="B46" t="s">
        <v>47</v>
      </c>
      <c r="C46" t="s">
        <v>81</v>
      </c>
      <c r="D46">
        <v>178.5</v>
      </c>
      <c r="E46">
        <v>189.68</v>
      </c>
      <c r="F46" s="3">
        <f t="shared" si="1"/>
        <v>1.0626330532212886</v>
      </c>
      <c r="G46">
        <v>54.08</v>
      </c>
      <c r="H46" s="3">
        <f t="shared" si="2"/>
        <v>0.285111767186841</v>
      </c>
      <c r="I46">
        <v>1888.53</v>
      </c>
      <c r="J46">
        <v>100.64</v>
      </c>
      <c r="K46">
        <v>1989.17</v>
      </c>
      <c r="L46">
        <v>21</v>
      </c>
      <c r="M46">
        <v>21</v>
      </c>
      <c r="N46">
        <v>0</v>
      </c>
      <c r="O46" s="3">
        <f t="shared" si="3"/>
        <v>1</v>
      </c>
      <c r="P46" t="s">
        <v>37</v>
      </c>
      <c r="Q46" t="s">
        <v>36</v>
      </c>
    </row>
    <row r="47" spans="1:17" x14ac:dyDescent="0.3">
      <c r="A47" t="s">
        <v>48</v>
      </c>
      <c r="B47" t="s">
        <v>49</v>
      </c>
      <c r="C47" t="s">
        <v>81</v>
      </c>
      <c r="D47">
        <v>178.5</v>
      </c>
      <c r="E47">
        <v>201.41</v>
      </c>
      <c r="F47" s="3">
        <f t="shared" si="1"/>
        <v>1.1283473389355743</v>
      </c>
      <c r="G47">
        <v>55.13</v>
      </c>
      <c r="H47" s="3">
        <f t="shared" si="2"/>
        <v>0.27372027208182315</v>
      </c>
      <c r="I47">
        <v>3028.52</v>
      </c>
      <c r="J47">
        <v>147.82</v>
      </c>
      <c r="K47">
        <v>3176.34</v>
      </c>
      <c r="L47">
        <v>21</v>
      </c>
      <c r="M47">
        <v>21</v>
      </c>
      <c r="N47">
        <v>0</v>
      </c>
      <c r="O47" s="3">
        <f t="shared" si="3"/>
        <v>1</v>
      </c>
      <c r="P47" t="s">
        <v>37</v>
      </c>
      <c r="Q47" t="s">
        <v>36</v>
      </c>
    </row>
    <row r="48" spans="1:17" x14ac:dyDescent="0.3">
      <c r="A48" t="s">
        <v>50</v>
      </c>
      <c r="B48" t="s">
        <v>51</v>
      </c>
      <c r="C48" t="s">
        <v>81</v>
      </c>
      <c r="D48">
        <v>178.5</v>
      </c>
      <c r="E48">
        <v>173.5</v>
      </c>
      <c r="F48" s="3">
        <f t="shared" si="1"/>
        <v>0.97198879551820727</v>
      </c>
      <c r="G48">
        <v>39.21</v>
      </c>
      <c r="H48" s="3">
        <f t="shared" si="2"/>
        <v>0.22599423631123919</v>
      </c>
      <c r="I48">
        <v>1770.02</v>
      </c>
      <c r="J48">
        <v>163.87</v>
      </c>
      <c r="K48">
        <v>1933.8899999999999</v>
      </c>
      <c r="L48">
        <v>21</v>
      </c>
      <c r="M48">
        <v>21</v>
      </c>
      <c r="N48">
        <v>0</v>
      </c>
      <c r="O48" s="3">
        <f t="shared" si="3"/>
        <v>1</v>
      </c>
      <c r="P48" t="s">
        <v>37</v>
      </c>
      <c r="Q48" t="s">
        <v>36</v>
      </c>
    </row>
    <row r="49" spans="1:17" x14ac:dyDescent="0.3">
      <c r="A49" t="s">
        <v>52</v>
      </c>
      <c r="B49" t="s">
        <v>53</v>
      </c>
      <c r="C49" t="s">
        <v>81</v>
      </c>
      <c r="D49">
        <v>178.5</v>
      </c>
      <c r="E49">
        <v>200.94</v>
      </c>
      <c r="F49" s="3">
        <f t="shared" si="1"/>
        <v>1.1257142857142857</v>
      </c>
      <c r="G49">
        <v>41.9</v>
      </c>
      <c r="H49" s="3">
        <f t="shared" si="2"/>
        <v>0.20851995620583258</v>
      </c>
      <c r="I49">
        <v>3519.14</v>
      </c>
      <c r="J49">
        <v>185.69</v>
      </c>
      <c r="K49">
        <v>3704.83</v>
      </c>
      <c r="L49">
        <v>21</v>
      </c>
      <c r="M49">
        <v>21</v>
      </c>
      <c r="N49">
        <v>0</v>
      </c>
      <c r="O49" s="3">
        <f t="shared" si="3"/>
        <v>1</v>
      </c>
      <c r="P49" t="s">
        <v>37</v>
      </c>
      <c r="Q49" t="s">
        <v>36</v>
      </c>
    </row>
    <row r="50" spans="1:17" x14ac:dyDescent="0.3">
      <c r="A50" t="s">
        <v>54</v>
      </c>
      <c r="B50" t="s">
        <v>55</v>
      </c>
      <c r="C50" t="s">
        <v>81</v>
      </c>
      <c r="D50">
        <v>178.5</v>
      </c>
      <c r="E50">
        <v>186.1</v>
      </c>
      <c r="F50" s="3">
        <f t="shared" si="1"/>
        <v>1.042577030812325</v>
      </c>
      <c r="G50">
        <v>23.46</v>
      </c>
      <c r="H50" s="3">
        <f t="shared" si="2"/>
        <v>0.12606125738850082</v>
      </c>
      <c r="I50">
        <v>1622.59</v>
      </c>
      <c r="J50">
        <v>70.540000000000006</v>
      </c>
      <c r="K50">
        <v>1693.1299999999999</v>
      </c>
      <c r="L50">
        <v>21</v>
      </c>
      <c r="M50">
        <v>21</v>
      </c>
      <c r="N50">
        <v>0</v>
      </c>
      <c r="O50" s="3">
        <f t="shared" si="3"/>
        <v>1</v>
      </c>
      <c r="P50" t="s">
        <v>37</v>
      </c>
      <c r="Q50" t="s">
        <v>36</v>
      </c>
    </row>
    <row r="51" spans="1:17" x14ac:dyDescent="0.3">
      <c r="A51" t="s">
        <v>56</v>
      </c>
      <c r="B51" t="s">
        <v>57</v>
      </c>
      <c r="C51" t="s">
        <v>81</v>
      </c>
      <c r="D51" s="4">
        <v>189</v>
      </c>
      <c r="E51">
        <v>184.21</v>
      </c>
      <c r="F51" s="3">
        <f t="shared" si="1"/>
        <v>0.97465608465608466</v>
      </c>
      <c r="G51">
        <v>38.770000000000003</v>
      </c>
      <c r="H51" s="3">
        <f t="shared" si="2"/>
        <v>0.21046631561804463</v>
      </c>
      <c r="I51">
        <v>2488.06</v>
      </c>
      <c r="J51">
        <v>164.03</v>
      </c>
      <c r="K51">
        <v>2652.09</v>
      </c>
      <c r="L51">
        <v>21</v>
      </c>
      <c r="M51">
        <v>21</v>
      </c>
      <c r="N51">
        <v>0</v>
      </c>
      <c r="O51" s="3">
        <f t="shared" si="3"/>
        <v>1</v>
      </c>
      <c r="P51" t="s">
        <v>58</v>
      </c>
      <c r="Q51" t="s">
        <v>36</v>
      </c>
    </row>
    <row r="52" spans="1:17" x14ac:dyDescent="0.3">
      <c r="A52" t="s">
        <v>59</v>
      </c>
      <c r="B52" t="s">
        <v>60</v>
      </c>
      <c r="C52" t="s">
        <v>81</v>
      </c>
      <c r="D52" s="4">
        <v>189</v>
      </c>
      <c r="E52">
        <v>183.2</v>
      </c>
      <c r="F52" s="3">
        <f t="shared" si="1"/>
        <v>0.96931216931216924</v>
      </c>
      <c r="G52">
        <v>32.020000000000003</v>
      </c>
      <c r="H52" s="3">
        <f t="shared" si="2"/>
        <v>0.17478165938864632</v>
      </c>
      <c r="I52">
        <v>1945.29</v>
      </c>
      <c r="J52">
        <v>86.93</v>
      </c>
      <c r="K52">
        <v>2032.22</v>
      </c>
      <c r="L52">
        <v>21</v>
      </c>
      <c r="M52">
        <v>21</v>
      </c>
      <c r="N52">
        <v>0</v>
      </c>
      <c r="O52" s="3">
        <f t="shared" si="3"/>
        <v>1</v>
      </c>
      <c r="P52" t="s">
        <v>58</v>
      </c>
      <c r="Q52" t="s">
        <v>36</v>
      </c>
    </row>
    <row r="53" spans="1:17" x14ac:dyDescent="0.3">
      <c r="A53" t="s">
        <v>61</v>
      </c>
      <c r="B53" t="s">
        <v>62</v>
      </c>
      <c r="C53" t="s">
        <v>81</v>
      </c>
      <c r="D53" s="4">
        <v>189</v>
      </c>
      <c r="E53">
        <v>185.98</v>
      </c>
      <c r="F53" s="3">
        <f t="shared" si="1"/>
        <v>0.98402116402116402</v>
      </c>
      <c r="G53">
        <v>33.630000000000003</v>
      </c>
      <c r="H53" s="3">
        <f t="shared" si="2"/>
        <v>0.1808258952575546</v>
      </c>
      <c r="I53">
        <v>2203.98</v>
      </c>
      <c r="J53">
        <v>140.61000000000001</v>
      </c>
      <c r="K53">
        <v>2344.59</v>
      </c>
      <c r="L53">
        <v>21</v>
      </c>
      <c r="M53">
        <v>21</v>
      </c>
      <c r="N53">
        <v>0</v>
      </c>
      <c r="O53" s="3">
        <f t="shared" si="3"/>
        <v>1</v>
      </c>
      <c r="P53" t="s">
        <v>58</v>
      </c>
      <c r="Q53" t="s">
        <v>36</v>
      </c>
    </row>
    <row r="54" spans="1:17" x14ac:dyDescent="0.3">
      <c r="A54" t="s">
        <v>63</v>
      </c>
      <c r="B54" t="s">
        <v>64</v>
      </c>
      <c r="C54" t="s">
        <v>81</v>
      </c>
      <c r="D54" s="4">
        <v>189</v>
      </c>
      <c r="E54">
        <v>212.59</v>
      </c>
      <c r="F54" s="3">
        <f t="shared" si="1"/>
        <v>1.1248148148148149</v>
      </c>
      <c r="G54">
        <v>43.55</v>
      </c>
      <c r="H54" s="3">
        <f t="shared" si="2"/>
        <v>0.20485441460087492</v>
      </c>
      <c r="I54">
        <v>2090.92</v>
      </c>
      <c r="J54">
        <v>208.98</v>
      </c>
      <c r="K54">
        <v>2299.9</v>
      </c>
      <c r="L54">
        <v>21</v>
      </c>
      <c r="M54">
        <v>21</v>
      </c>
      <c r="N54">
        <v>0</v>
      </c>
      <c r="O54" s="3">
        <f t="shared" si="3"/>
        <v>1</v>
      </c>
      <c r="P54" t="s">
        <v>58</v>
      </c>
      <c r="Q54" t="s">
        <v>36</v>
      </c>
    </row>
    <row r="55" spans="1:17" x14ac:dyDescent="0.3">
      <c r="A55" t="s">
        <v>65</v>
      </c>
      <c r="B55" t="s">
        <v>66</v>
      </c>
      <c r="C55" t="s">
        <v>81</v>
      </c>
      <c r="D55" s="4">
        <v>189</v>
      </c>
      <c r="E55">
        <v>193.45</v>
      </c>
      <c r="F55" s="3">
        <f t="shared" si="1"/>
        <v>1.0235449735449735</v>
      </c>
      <c r="G55">
        <v>61.26</v>
      </c>
      <c r="H55" s="3">
        <f t="shared" si="2"/>
        <v>0.31667097441199277</v>
      </c>
      <c r="I55">
        <v>1009.77</v>
      </c>
      <c r="J55">
        <v>50.07</v>
      </c>
      <c r="K55">
        <v>1059.8399999999999</v>
      </c>
      <c r="L55">
        <v>21</v>
      </c>
      <c r="M55">
        <v>21</v>
      </c>
      <c r="N55">
        <v>0</v>
      </c>
      <c r="O55" s="3">
        <f t="shared" si="3"/>
        <v>1</v>
      </c>
      <c r="P55" t="s">
        <v>58</v>
      </c>
      <c r="Q55" t="s">
        <v>36</v>
      </c>
    </row>
    <row r="56" spans="1:17" x14ac:dyDescent="0.3">
      <c r="A56" t="s">
        <v>67</v>
      </c>
      <c r="B56" t="s">
        <v>68</v>
      </c>
      <c r="C56" t="s">
        <v>81</v>
      </c>
      <c r="D56" s="4">
        <v>189</v>
      </c>
      <c r="E56">
        <v>148.05000000000001</v>
      </c>
      <c r="F56" s="3">
        <f t="shared" si="1"/>
        <v>0.78333333333333344</v>
      </c>
      <c r="G56">
        <v>37.15</v>
      </c>
      <c r="H56" s="3">
        <f t="shared" si="2"/>
        <v>0.25092874029044238</v>
      </c>
      <c r="I56">
        <v>1765.83</v>
      </c>
      <c r="J56">
        <v>121.78</v>
      </c>
      <c r="K56">
        <v>1887.61</v>
      </c>
      <c r="L56">
        <v>21</v>
      </c>
      <c r="M56">
        <v>20</v>
      </c>
      <c r="N56">
        <v>1</v>
      </c>
      <c r="O56" s="3">
        <f t="shared" si="3"/>
        <v>0.95238095238095233</v>
      </c>
      <c r="P56" t="s">
        <v>58</v>
      </c>
      <c r="Q56" t="s">
        <v>36</v>
      </c>
    </row>
    <row r="57" spans="1:17" x14ac:dyDescent="0.3">
      <c r="A57" t="s">
        <v>69</v>
      </c>
      <c r="B57" t="s">
        <v>70</v>
      </c>
      <c r="C57" t="s">
        <v>81</v>
      </c>
      <c r="D57" s="4">
        <v>189</v>
      </c>
      <c r="E57">
        <v>145.24</v>
      </c>
      <c r="F57" s="3">
        <f t="shared" si="1"/>
        <v>0.76846560846560852</v>
      </c>
      <c r="G57">
        <v>34</v>
      </c>
      <c r="H57" s="3">
        <f t="shared" si="2"/>
        <v>0.23409529055356651</v>
      </c>
      <c r="I57">
        <v>1472.84</v>
      </c>
      <c r="J57">
        <v>70.28</v>
      </c>
      <c r="K57">
        <v>1543.12</v>
      </c>
      <c r="L57">
        <v>21</v>
      </c>
      <c r="M57">
        <v>18</v>
      </c>
      <c r="N57">
        <v>3</v>
      </c>
      <c r="O57" s="3">
        <f t="shared" si="3"/>
        <v>0.8571428571428571</v>
      </c>
      <c r="P57" t="s">
        <v>58</v>
      </c>
      <c r="Q57" t="s">
        <v>36</v>
      </c>
    </row>
    <row r="58" spans="1:17" x14ac:dyDescent="0.3">
      <c r="A58" t="s">
        <v>71</v>
      </c>
      <c r="B58" t="s">
        <v>72</v>
      </c>
      <c r="C58" t="s">
        <v>81</v>
      </c>
      <c r="D58" s="4">
        <v>189</v>
      </c>
      <c r="E58">
        <v>180.58</v>
      </c>
      <c r="F58" s="3">
        <f t="shared" si="1"/>
        <v>0.95544973544973555</v>
      </c>
      <c r="G58">
        <v>42.64</v>
      </c>
      <c r="H58" s="3">
        <f t="shared" si="2"/>
        <v>0.23612803189722006</v>
      </c>
      <c r="I58">
        <v>2004.1</v>
      </c>
      <c r="J58">
        <v>23.54</v>
      </c>
      <c r="K58">
        <v>2027.6399999999999</v>
      </c>
      <c r="L58">
        <v>21</v>
      </c>
      <c r="M58">
        <v>20</v>
      </c>
      <c r="N58">
        <v>1</v>
      </c>
      <c r="O58" s="3">
        <f t="shared" si="3"/>
        <v>0.95238095238095233</v>
      </c>
      <c r="P58" t="s">
        <v>58</v>
      </c>
      <c r="Q58" t="s">
        <v>36</v>
      </c>
    </row>
    <row r="59" spans="1:17" x14ac:dyDescent="0.3">
      <c r="A59" t="s">
        <v>74</v>
      </c>
      <c r="B59" t="s">
        <v>75</v>
      </c>
      <c r="C59" t="s">
        <v>81</v>
      </c>
      <c r="D59" s="4">
        <v>189</v>
      </c>
      <c r="E59">
        <v>181.34</v>
      </c>
      <c r="F59" s="3">
        <f t="shared" si="1"/>
        <v>0.95947089947089947</v>
      </c>
      <c r="G59">
        <v>18.82</v>
      </c>
      <c r="H59" s="3">
        <f t="shared" si="2"/>
        <v>0.10378294915628102</v>
      </c>
      <c r="I59">
        <v>2662.03</v>
      </c>
      <c r="J59">
        <v>80.16</v>
      </c>
      <c r="K59">
        <v>2742.19</v>
      </c>
      <c r="L59">
        <v>21</v>
      </c>
      <c r="M59">
        <v>21</v>
      </c>
      <c r="N59">
        <v>0</v>
      </c>
      <c r="O59" s="3">
        <f t="shared" si="3"/>
        <v>1</v>
      </c>
      <c r="P59" t="s">
        <v>58</v>
      </c>
      <c r="Q59" t="s">
        <v>73</v>
      </c>
    </row>
    <row r="60" spans="1:17" x14ac:dyDescent="0.3">
      <c r="A60" t="s">
        <v>76</v>
      </c>
      <c r="B60" t="s">
        <v>77</v>
      </c>
      <c r="C60" t="s">
        <v>81</v>
      </c>
      <c r="D60" s="4">
        <v>189</v>
      </c>
      <c r="E60">
        <v>192.25</v>
      </c>
      <c r="F60" s="3">
        <f t="shared" si="1"/>
        <v>1.0171957671957672</v>
      </c>
      <c r="G60">
        <v>38.4</v>
      </c>
      <c r="H60" s="3">
        <f t="shared" si="2"/>
        <v>0.19973992197659296</v>
      </c>
      <c r="I60">
        <v>2414.0500000000002</v>
      </c>
      <c r="J60">
        <v>136.43</v>
      </c>
      <c r="K60">
        <v>2550.48</v>
      </c>
      <c r="L60">
        <v>21</v>
      </c>
      <c r="M60">
        <v>21</v>
      </c>
      <c r="N60">
        <v>0</v>
      </c>
      <c r="O60" s="3">
        <f t="shared" si="3"/>
        <v>1</v>
      </c>
      <c r="P60" t="s">
        <v>58</v>
      </c>
      <c r="Q60" t="s">
        <v>73</v>
      </c>
    </row>
    <row r="61" spans="1:17" x14ac:dyDescent="0.3">
      <c r="A61" t="s">
        <v>78</v>
      </c>
      <c r="B61" t="s">
        <v>79</v>
      </c>
      <c r="C61" t="s">
        <v>81</v>
      </c>
      <c r="D61">
        <v>147</v>
      </c>
      <c r="E61">
        <v>159.33000000000001</v>
      </c>
      <c r="F61" s="3">
        <f t="shared" si="1"/>
        <v>1.0838775510204082</v>
      </c>
      <c r="G61">
        <v>38.11</v>
      </c>
      <c r="H61" s="3">
        <f t="shared" si="2"/>
        <v>0.23918910437456847</v>
      </c>
      <c r="I61">
        <v>904.64</v>
      </c>
      <c r="J61">
        <v>37.950000000000003</v>
      </c>
      <c r="K61">
        <v>942.59</v>
      </c>
      <c r="L61">
        <v>21</v>
      </c>
      <c r="M61">
        <v>21</v>
      </c>
      <c r="N61">
        <v>0</v>
      </c>
      <c r="O61" s="3">
        <f t="shared" si="3"/>
        <v>1</v>
      </c>
      <c r="P61" t="s">
        <v>80</v>
      </c>
      <c r="Q6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Productividad</vt:lpstr>
      <vt:lpstr>Hoja1</vt:lpstr>
      <vt:lpstr>Hoja2</vt:lpstr>
      <vt:lpstr>Absentismo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tellez</dc:creator>
  <cp:lastModifiedBy>sergio tellez</cp:lastModifiedBy>
  <dcterms:created xsi:type="dcterms:W3CDTF">2025-09-17T19:05:13Z</dcterms:created>
  <dcterms:modified xsi:type="dcterms:W3CDTF">2025-10-14T21:21:32Z</dcterms:modified>
</cp:coreProperties>
</file>